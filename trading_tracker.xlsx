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SIYA_NIZAM\TRAINING\DATA ANALYSIS\Portfolio Projects\Trading Dashboard\Dashboard\"/>
    </mc:Choice>
  </mc:AlternateContent>
  <xr:revisionPtr revIDLastSave="0" documentId="13_ncr:1_{3575461E-0866-4C02-B67A-FD9A50411590}" xr6:coauthVersionLast="47" xr6:coauthVersionMax="47" xr10:uidLastSave="{00000000-0000-0000-0000-000000000000}"/>
  <bookViews>
    <workbookView xWindow="-108" yWindow="-108" windowWidth="23256" windowHeight="12456" activeTab="1" xr2:uid="{00000000-000D-0000-FFFF-FFFF00000000}"/>
  </bookViews>
  <sheets>
    <sheet name="Trade Log" sheetId="1" r:id="rId1"/>
    <sheet name="Helper_Data" sheetId="5" r:id="rId2"/>
    <sheet name="Dashboard" sheetId="3" r:id="rId3"/>
  </sheets>
  <definedNames>
    <definedName name="Slicer_Direction">#N/A</definedName>
    <definedName name="Slicer_Month">#N/A</definedName>
    <definedName name="Slicer_Symbol">#N/A</definedName>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I2" i="3"/>
  <c r="I6" i="3" s="1"/>
  <c r="C6" i="3"/>
  <c r="C2" i="3"/>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O6" i="3"/>
  <c r="O2" i="3"/>
  <c r="L6" i="3"/>
  <c r="L2" i="3"/>
  <c r="R2" i="3"/>
  <c r="R6" i="3"/>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F2" i="3" l="1"/>
  <c r="F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<sst xmlns="http://schemas.openxmlformats.org/spreadsheetml/2006/main" count="651" uniqueCount="207">
  <si>
    <t>Date</t>
  </si>
  <si>
    <t>Symbol</t>
  </si>
  <si>
    <t>Market</t>
  </si>
  <si>
    <t>Direction</t>
  </si>
  <si>
    <t>Entry Price</t>
  </si>
  <si>
    <t>Exit Price</t>
  </si>
  <si>
    <t>Position Size</t>
  </si>
  <si>
    <t>Stop Loss</t>
  </si>
  <si>
    <t>Take Profit</t>
  </si>
  <si>
    <t>Fees</t>
  </si>
  <si>
    <t>PnL</t>
  </si>
  <si>
    <t>Risk (R)</t>
  </si>
  <si>
    <t>RR Ratio</t>
  </si>
  <si>
    <t>Strategy</t>
  </si>
  <si>
    <t>Notes</t>
  </si>
  <si>
    <t>Forex</t>
  </si>
  <si>
    <t>Breakout</t>
  </si>
  <si>
    <t>Total Trades</t>
  </si>
  <si>
    <t>Total PnL</t>
  </si>
  <si>
    <t>Paili's Trading Dashboard</t>
  </si>
  <si>
    <t>#Winning Trades</t>
  </si>
  <si>
    <t>Win Rate%</t>
  </si>
  <si>
    <t>Average PnL</t>
  </si>
  <si>
    <t>Trading Days</t>
  </si>
  <si>
    <t>MSFT</t>
  </si>
  <si>
    <t>US Equities</t>
  </si>
  <si>
    <t>LONG</t>
  </si>
  <si>
    <t>Support/Resistance</t>
  </si>
  <si>
    <t>Tight consolidation breakout</t>
  </si>
  <si>
    <t>NVDA</t>
  </si>
  <si>
    <t>Momentum</t>
  </si>
  <si>
    <t>Fed speech volatility</t>
  </si>
  <si>
    <t>AAPL</t>
  </si>
  <si>
    <t>Scalp</t>
  </si>
  <si>
    <t>Overbought — faded the rally</t>
  </si>
  <si>
    <t>DOGE/USD</t>
  </si>
  <si>
    <t>Crypto</t>
  </si>
  <si>
    <t>SHORT</t>
  </si>
  <si>
    <t>ATH breakout — momentum play</t>
  </si>
  <si>
    <t>XRP/USD</t>
  </si>
  <si>
    <t>Trend Follow</t>
  </si>
  <si>
    <t>Clean breakout above resistance</t>
  </si>
  <si>
    <t>USD/JPY</t>
  </si>
  <si>
    <t>Earnings Play</t>
  </si>
  <si>
    <t>Pre-market gap up follow-through</t>
  </si>
  <si>
    <t>SPY</t>
  </si>
  <si>
    <t>Swing</t>
  </si>
  <si>
    <t>Support zone rejection</t>
  </si>
  <si>
    <t>BTC/USD</t>
  </si>
  <si>
    <t>Failed retest — stopped out</t>
  </si>
  <si>
    <t>AMZN</t>
  </si>
  <si>
    <t>Stop run then reversal</t>
  </si>
  <si>
    <t>Range Bound</t>
  </si>
  <si>
    <t>Divergence on MACD</t>
  </si>
  <si>
    <t>GBP/USD</t>
  </si>
  <si>
    <t>Higher highs and higher lows</t>
  </si>
  <si>
    <t>Bull flag continuation</t>
  </si>
  <si>
    <t>EMA crossover signal</t>
  </si>
  <si>
    <t>USD/CAD</t>
  </si>
  <si>
    <t>Opening range breakout</t>
  </si>
  <si>
    <t>Liquidity grab at lows</t>
  </si>
  <si>
    <t>TSLA</t>
  </si>
  <si>
    <t>QQQ</t>
  </si>
  <si>
    <t>Mean Reversion</t>
  </si>
  <si>
    <t>Inside bar breakout</t>
  </si>
  <si>
    <t>News catalyst — beat expectations</t>
  </si>
  <si>
    <t>VWAP Fade</t>
  </si>
  <si>
    <t>Head and shoulders breakdown</t>
  </si>
  <si>
    <t>Double bottom confirmed</t>
  </si>
  <si>
    <t>EUR/USD</t>
  </si>
  <si>
    <t>Afternoon reversal setup</t>
  </si>
  <si>
    <t>Earnings surprise — large move</t>
  </si>
  <si>
    <t>META</t>
  </si>
  <si>
    <t>Gap fill play</t>
  </si>
  <si>
    <t>GOOGL</t>
  </si>
  <si>
    <t>RSI oversold bounce</t>
  </si>
  <si>
    <t>Sector rotation play</t>
  </si>
  <si>
    <t>Demand zone bounce</t>
  </si>
  <si>
    <t>SOL/USD</t>
  </si>
  <si>
    <t>VWAP reclaim trade</t>
  </si>
  <si>
    <t>AUD/USD</t>
  </si>
  <si>
    <t>Trendline support held</t>
  </si>
  <si>
    <t>BNB/USD</t>
  </si>
  <si>
    <t>ETH/USD</t>
  </si>
  <si>
    <t>Supply zone rejection</t>
  </si>
  <si>
    <t>Closing auction momentum</t>
  </si>
  <si>
    <t>Strong volume confirmation</t>
  </si>
  <si>
    <t>#Losing Trades</t>
  </si>
  <si>
    <t>Average Win</t>
  </si>
  <si>
    <t>Average Loss</t>
  </si>
  <si>
    <t>Best Trade</t>
  </si>
  <si>
    <t>Worst Trade</t>
  </si>
  <si>
    <t>Expectancy</t>
  </si>
  <si>
    <t>Trade Status</t>
  </si>
  <si>
    <t>Trading Day</t>
  </si>
  <si>
    <t>Grand Total</t>
  </si>
  <si>
    <t>Sum of PnL</t>
  </si>
  <si>
    <t>Loss</t>
  </si>
  <si>
    <t>Win</t>
  </si>
  <si>
    <t>Year</t>
  </si>
  <si>
    <t>Month</t>
  </si>
  <si>
    <t>Month No</t>
  </si>
  <si>
    <t>Quarter</t>
  </si>
  <si>
    <t>Win/Loss</t>
  </si>
  <si>
    <t>Note: Expectancy is the average amount of profit or loss you can expect per trade over a large number of trades, based on your win rate and the size of your average wins and losses.
In simple terms, it measures your trading “edge” by combining how often you win and how much you win or lose when you do.
Mathematically, it is:
Expectancy = (Win Rate × Average Win) − (Loss Rate × Average Loss)
A positive expectancy means your strategy is profitable in the long run, while a negative expectancy means it will lose money over time, even if you win many trades.</t>
  </si>
  <si>
    <t>Count</t>
  </si>
  <si>
    <t>02-Jan</t>
  </si>
  <si>
    <t>03-Jan</t>
  </si>
  <si>
    <t>05-Jan</t>
  </si>
  <si>
    <t>08-Jan</t>
  </si>
  <si>
    <t>10-Jan</t>
  </si>
  <si>
    <t>12-Jan</t>
  </si>
  <si>
    <t>15-Jan</t>
  </si>
  <si>
    <t>16-Jan</t>
  </si>
  <si>
    <t>18-Jan</t>
  </si>
  <si>
    <t>19-Jan</t>
  </si>
  <si>
    <t>22-Jan</t>
  </si>
  <si>
    <t>24-Jan</t>
  </si>
  <si>
    <t>29-Jan</t>
  </si>
  <si>
    <t>01-Feb</t>
  </si>
  <si>
    <t>02-Feb</t>
  </si>
  <si>
    <t>05-Feb</t>
  </si>
  <si>
    <t>08-Feb</t>
  </si>
  <si>
    <t>09-Feb</t>
  </si>
  <si>
    <t>12-Feb</t>
  </si>
  <si>
    <t>15-Feb</t>
  </si>
  <si>
    <t>16-Feb</t>
  </si>
  <si>
    <t>19-Feb</t>
  </si>
  <si>
    <t>21-Feb</t>
  </si>
  <si>
    <t>22-Feb</t>
  </si>
  <si>
    <t>23-Feb</t>
  </si>
  <si>
    <t>26-Feb</t>
  </si>
  <si>
    <t>27-Feb</t>
  </si>
  <si>
    <t>28-Feb</t>
  </si>
  <si>
    <t>04-Mar</t>
  </si>
  <si>
    <t>05-Mar</t>
  </si>
  <si>
    <t>06-Mar</t>
  </si>
  <si>
    <t>07-Mar</t>
  </si>
  <si>
    <t>11-Mar</t>
  </si>
  <si>
    <t>12-Mar</t>
  </si>
  <si>
    <t>14-Mar</t>
  </si>
  <si>
    <t>15-Mar</t>
  </si>
  <si>
    <t>18-Mar</t>
  </si>
  <si>
    <t>21-Mar</t>
  </si>
  <si>
    <t>25-Mar</t>
  </si>
  <si>
    <t>28-Mar</t>
  </si>
  <si>
    <t>29-Mar</t>
  </si>
  <si>
    <t>01-Apr</t>
  </si>
  <si>
    <t>04-Apr</t>
  </si>
  <si>
    <t>05-Apr</t>
  </si>
  <si>
    <t>08-Apr</t>
  </si>
  <si>
    <t>10-Apr</t>
  </si>
  <si>
    <t>12-Apr</t>
  </si>
  <si>
    <t>15-Apr</t>
  </si>
  <si>
    <t>17-Apr</t>
  </si>
  <si>
    <t>22-Apr</t>
  </si>
  <si>
    <t>25-Apr</t>
  </si>
  <si>
    <t>29-Apr</t>
  </si>
  <si>
    <t>01-May</t>
  </si>
  <si>
    <t>03-May</t>
  </si>
  <si>
    <t>06-May</t>
  </si>
  <si>
    <t>09-May</t>
  </si>
  <si>
    <t>13-May</t>
  </si>
  <si>
    <t>16-May</t>
  </si>
  <si>
    <t>20-May</t>
  </si>
  <si>
    <t>22-May</t>
  </si>
  <si>
    <t>27-May</t>
  </si>
  <si>
    <t>30-May</t>
  </si>
  <si>
    <t>03-Jun</t>
  </si>
  <si>
    <t>05-Jun</t>
  </si>
  <si>
    <t>10-Jun</t>
  </si>
  <si>
    <t>11-Jun</t>
  </si>
  <si>
    <t>12-Jun</t>
  </si>
  <si>
    <t>13-Jun</t>
  </si>
  <si>
    <t>14-Jun</t>
  </si>
  <si>
    <t>17-Jun</t>
  </si>
  <si>
    <t>20-Jun</t>
  </si>
  <si>
    <t>24-Jun</t>
  </si>
  <si>
    <t>25-Jun</t>
  </si>
  <si>
    <t>28-Jun</t>
  </si>
  <si>
    <t>01-Jul</t>
  </si>
  <si>
    <t>03-Jul</t>
  </si>
  <si>
    <t>05-Jul</t>
  </si>
  <si>
    <t>08-Jul</t>
  </si>
  <si>
    <t>09-Jul</t>
  </si>
  <si>
    <t>12-Jul</t>
  </si>
  <si>
    <t>15-Jul</t>
  </si>
  <si>
    <t>17-Jul</t>
  </si>
  <si>
    <t>19-Jul</t>
  </si>
  <si>
    <t>22-Jul</t>
  </si>
  <si>
    <t>23-Jul</t>
  </si>
  <si>
    <t>24-Jul</t>
  </si>
  <si>
    <t>25-Jul</t>
  </si>
  <si>
    <t>29-Jul</t>
  </si>
  <si>
    <t>31-Jul</t>
  </si>
  <si>
    <t>02-Aug</t>
  </si>
  <si>
    <t>05-Aug</t>
  </si>
  <si>
    <t>07-Aug</t>
  </si>
  <si>
    <t>09-Aug</t>
  </si>
  <si>
    <t>12-Aug</t>
  </si>
  <si>
    <t>14-Aug</t>
  </si>
  <si>
    <t>15-Aug</t>
  </si>
  <si>
    <t>16-Aug</t>
  </si>
  <si>
    <t>19-Aug</t>
  </si>
  <si>
    <t>22-Aug</t>
  </si>
  <si>
    <t>26-Aug</t>
  </si>
  <si>
    <t>TradeStatus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</si>
</sst>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65" formatCode="0.0%"/>
    <numFmt numFmtId="166" formatCode="[$$-409]#,##0.00_ ;\-[$$-409]#,##0.00\ "/>
    <numFmt numFmtId="167" formatCode="[$$-409]#,##0.00"/>
    <numFmt numFmtId="168" formatCode="[$-F800]dddd\,\ mmmm\ dd\,\ yyyy"/>
  </numFmts>
  <fonts count="8" x14ac:knownFonts="1">
    <font>
      <sz val="11"/>
      <color theme="1"/>
      <name val="Calibri"/>
      <family val="2"/>
      <scheme val="minor"/>
    </font>
    <font>
      <b/>
      <sz val="11"/>
      <color theme="0"/>
      <name val="Calibri"/>
      <family val="2"/>
      <scheme val="minor"/>
    </font>
    <font>
      <b/>
      <sz val="11"/>
      <color theme="1"/>
      <name val="Calibri"/>
      <family val="2"/>
      <scheme val="minor"/>
    </font>
    <font>
      <b/>
      <sz val="11"/>
      <color theme="0"/>
      <name val="Calibri"/>
      <family val="2"/>
    </font>
    <font>
      <b/>
      <i/>
      <sz val="11"/>
      <color theme="8" tint="-0.249977111117893"/>
      <name val="Calibri"/>
      <family val="2"/>
      <scheme val="minor"/>
    </font>
    <font>
      <b/>
      <sz val="11"/>
      <color theme="8" tint="-0.249977111117893"/>
      <name val="Calibri"/>
      <family val="2"/>
      <scheme val="minor"/>
    </font>
    <font>
      <b/>
      <sz val="14"/>
      <color theme="0"/>
      <name val="Calibri"/>
      <family val="2"/>
      <scheme val="minor"/>
    </font>
    <font>
      <b/>
      <sz val="16"/>
      <color theme="8" tint="-0.249977111117893"/>
      <name val="Bauhaus 93"/>
      <family val="5"/>
    </font>
  </fonts>
  <fills count="7">
    <fill>
      <patternFill patternType="none"/>
    </fill>
    <fill>
      <patternFill patternType="gray125"/>
    </fill>
    <fill>
      <patternFill patternType="solid">
        <fgColor theme="8" tint="0.59999389629810485"/>
        <bgColor indexed="64"/>
      </patternFill>
    </fill>
    <fill>
      <patternFill patternType="solid">
        <fgColor theme="8"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rgb="FF31869B"/>
        <bgColor indexed="64"/>
      </patternFill>
    </fill>
  </fills>
  <borders count="12">
    <border>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s>
  <cellStyleXfs count="1">
    <xf numFmtId="0" fontId="0" fillId="0" borderId="0"/>
  </cellStyleXfs>
  <cellXfs count="54">
    <xf numFmtId="0" fontId="0" fillId="0" borderId="0" xfId="0"/>
    <xf numFmtId="0" fontId="0" fillId="0" borderId="0" xfId="0" applyAlignment="1">
      <alignment horizontal="center"/>
    </xf>
    <xf numFmtId="164" fontId="0" fillId="0" borderId="0" xfId="0" applyNumberFormat="1" applyAlignment="1">
      <alignment horizontal="center"/>
    </xf>
    <xf numFmtId="0" fontId="0" fillId="2" borderId="0" xfId="0" applyFill="1"/>
    <xf numFmtId="0" fontId="0" fillId="5" borderId="0" xfId="0" applyFill="1"/>
    <xf numFmtId="0" fontId="3" fillId="3" borderId="0" xfId="0" applyFont="1" applyFill="1" applyAlignment="1">
      <alignment horizontal="center" vertical="center"/>
    </xf>
    <xf numFmtId="164" fontId="3" fillId="3" borderId="0" xfId="0" applyNumberFormat="1"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5" fillId="2" borderId="0" xfId="0" applyFont="1" applyFill="1" applyAlignment="1">
      <alignment wrapText="1"/>
    </xf>
    <xf numFmtId="168" fontId="3" fillId="3" borderId="0" xfId="0" applyNumberFormat="1" applyFont="1" applyFill="1" applyAlignment="1">
      <alignment horizontal="center" vertical="center"/>
    </xf>
    <xf numFmtId="168" fontId="0" fillId="0" borderId="0" xfId="0" applyNumberFormat="1" applyAlignment="1">
      <alignment horizontal="center"/>
    </xf>
    <xf numFmtId="0" fontId="2" fillId="5" borderId="0" xfId="0" applyFont="1" applyFill="1"/>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0" fillId="3" borderId="1" xfId="0" applyFill="1" applyBorder="1" applyAlignment="1">
      <alignment horizontal="center"/>
    </xf>
    <xf numFmtId="167" fontId="6" fillId="3" borderId="2" xfId="0" applyNumberFormat="1" applyFont="1" applyFill="1" applyBorder="1" applyAlignment="1">
      <alignment horizontal="center" vertical="center"/>
    </xf>
    <xf numFmtId="167" fontId="6" fillId="3" borderId="3" xfId="0" applyNumberFormat="1" applyFont="1" applyFill="1" applyBorder="1" applyAlignment="1">
      <alignment horizontal="center" vertical="center"/>
    </xf>
    <xf numFmtId="167" fontId="6" fillId="3" borderId="0" xfId="0" applyNumberFormat="1" applyFont="1" applyFill="1" applyAlignment="1">
      <alignment horizontal="center" vertical="center"/>
    </xf>
    <xf numFmtId="167" fontId="6" fillId="3" borderId="5" xfId="0" applyNumberFormat="1" applyFont="1" applyFill="1" applyBorder="1" applyAlignment="1">
      <alignment horizontal="center" vertical="center"/>
    </xf>
    <xf numFmtId="166" fontId="6" fillId="3" borderId="2" xfId="0" applyNumberFormat="1" applyFont="1" applyFill="1" applyBorder="1" applyAlignment="1">
      <alignment horizontal="center" vertical="center"/>
    </xf>
    <xf numFmtId="166" fontId="6" fillId="3" borderId="3" xfId="0" applyNumberFormat="1" applyFont="1" applyFill="1" applyBorder="1" applyAlignment="1">
      <alignment horizontal="center" vertical="center"/>
    </xf>
    <xf numFmtId="166" fontId="6" fillId="3" borderId="0" xfId="0" applyNumberFormat="1" applyFont="1" applyFill="1" applyAlignment="1">
      <alignment horizontal="center" vertical="center"/>
    </xf>
    <xf numFmtId="166" fontId="6" fillId="3" borderId="5" xfId="0" applyNumberFormat="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0" xfId="0" applyFont="1" applyFill="1" applyAlignment="1">
      <alignment horizontal="center" vertical="center"/>
    </xf>
    <xf numFmtId="0" fontId="6" fillId="3" borderId="5"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0" xfId="0" applyFont="1" applyFill="1" applyAlignment="1">
      <alignment horizontal="center" vertical="center"/>
    </xf>
    <xf numFmtId="0" fontId="6" fillId="6" borderId="5" xfId="0" applyFont="1" applyFill="1" applyBorder="1" applyAlignment="1">
      <alignment horizontal="center" vertical="center"/>
    </xf>
    <xf numFmtId="165" fontId="6" fillId="3" borderId="0" xfId="0" applyNumberFormat="1" applyFont="1" applyFill="1" applyAlignment="1">
      <alignment horizontal="center" vertical="center"/>
    </xf>
    <xf numFmtId="165" fontId="6" fillId="3" borderId="5" xfId="0" applyNumberFormat="1" applyFont="1" applyFill="1" applyBorder="1" applyAlignment="1">
      <alignment horizontal="center" vertical="center"/>
    </xf>
    <xf numFmtId="167" fontId="6" fillId="6" borderId="0" xfId="0" applyNumberFormat="1" applyFont="1" applyFill="1" applyAlignment="1">
      <alignment horizontal="center" vertical="center"/>
    </xf>
    <xf numFmtId="167" fontId="6" fillId="6" borderId="5" xfId="0" applyNumberFormat="1" applyFont="1" applyFill="1" applyBorder="1" applyAlignment="1">
      <alignment horizontal="center" vertical="center"/>
    </xf>
    <xf numFmtId="0" fontId="0" fillId="0" borderId="0" xfId="0" applyNumberFormat="1"/>
  </cellXfs>
  <cellStyles count="1">
    <cellStyle name="Normal" xfId="0" builtinId="0"/>
  </cellStyles>
  <dxfs count="32">
    <dxf>
      <font>
        <color rgb="FF006100"/>
      </font>
      <fill>
        <patternFill>
          <bgColor rgb="FFC6EFCE"/>
        </patternFill>
      </fill>
    </dxf>
    <dxf>
      <font>
        <color rgb="FF9C0006"/>
      </font>
      <fill>
        <patternFill>
          <bgColor rgb="FFFFC7CE"/>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F800]dddd\,\ mmmm\ dd\,\ 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8" tint="-0.249977111117893"/>
        </patternFill>
      </fill>
      <alignment horizontal="center" vertical="center" textRotation="0" wrapText="0" indent="0" justifyLastLine="0" shrinkToFit="0" readingOrder="0"/>
    </dxf>
    <dxf>
      <fill>
        <patternFill>
          <bgColor rgb="FF31869B"/>
        </patternFill>
      </fill>
    </dxf>
    <dxf>
      <font>
        <b/>
        <color theme="1"/>
      </font>
      <border>
        <bottom style="thin">
          <color theme="8"/>
        </bottom>
        <vertical/>
        <horizontal/>
      </border>
    </dxf>
    <dxf>
      <font>
        <color theme="1"/>
      </font>
      <fill>
        <patternFill>
          <fgColor rgb="FF31869B"/>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fgColor rgb="FF31869B"/>
        </patternFill>
      </fill>
      <border>
        <left style="thin">
          <color theme="8"/>
        </left>
        <right style="thin">
          <color theme="8"/>
        </right>
        <top style="thin">
          <color theme="8"/>
        </top>
        <bottom style="thin">
          <color theme="8"/>
        </bottom>
        <vertical/>
        <horizontal/>
      </border>
    </dxf>
    <dxf>
      <fill>
        <patternFill patternType="gray125">
          <fgColor rgb="FF31869B"/>
          <bgColor auto="1"/>
        </patternFill>
      </fill>
    </dxf>
  </dxfs>
  <tableStyles count="4" defaultTableStyle="TableStyleMedium9" defaultPivotStyle="PivotStyleLight16">
    <tableStyle name="Slicer Style 1" pivot="0" table="0" count="1" xr9:uid="{0687A5CC-45FD-4077-BF1D-0A6147B3FD87}">
      <tableStyleElement type="wholeTable" dxfId="31"/>
    </tableStyle>
    <tableStyle name="SlicerStyleDark5 2" pivot="0" table="0" count="10" xr9:uid="{969BA590-6B57-473E-A53E-99C2ACE54715}">
      <tableStyleElement type="wholeTable" dxfId="30"/>
      <tableStyleElement type="headerRow" dxfId="29"/>
    </tableStyle>
    <tableStyle name="SlicerStyleDark5 2 2" pivot="0" table="0" count="10" xr9:uid="{4C993EAB-E849-44F0-B04A-6B6102D9A0CC}">
      <tableStyleElement type="wholeTable" dxfId="28"/>
      <tableStyleElement type="headerRow" dxfId="27"/>
    </tableStyle>
    <tableStyle name="teal_blue" pivot="0" table="0" count="1" xr9:uid="{8272622A-390B-46E0-B58F-5AEC286EF3B9}">
      <tableStyleElement type="wholeTable" dxfId="26"/>
    </tableStyle>
  </tableStyles>
  <colors>
    <mruColors>
      <color rgb="FF31869B"/>
      <color rgb="FF9B4631"/>
      <color rgb="FFDCC83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31869B"/>
              <bgColor rgb="FF31869B"/>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teal_blue">
        <x14:slicerStyle name="Slicer Style 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teal_blu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[trading_tracker.xlsx]Helper_Data!Pnl</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Daily</a:t>
            </a:r>
            <a:r>
              <a:rPr lang="en-US" sz="1200" baseline="0">
                <a:solidFill>
                  <a:schemeClr val="bg1"/>
                </a:solidFill>
              </a:rPr>
              <a:t> PnL Trend</a:t>
            </a:r>
            <a:endParaRPr lang="en-US"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31869B">
                <a:alpha val="85000"/>
              </a:srgbClr>
            </a:solidFill>
            <a:round/>
          </a:ln>
          <a:effectLst/>
        </c:spPr>
        <c:marker>
          <c:symbol val="circle"/>
          <c:size val="5"/>
          <c:spPr>
            <a:solidFill>
              <a:srgbClr val="31869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lineChart>
        <c:grouping val="standard"/>
        <c:varyColors val="0"/>
        <c:ser>
          <c:idx val="0"/>
          <c:order val="0"/>
          <c:tx>
            <c:strRef>
              <c:f>Helper_Data!$B$1</c:f>
              <c:strCache>
                <c:ptCount val="1"/>
                <c:pt idx="0">
                  <c:v>Total</c:v>
                </c:pt>
              </c:strCache>
            </c:strRef>
          </c:tx>
          <c:spPr>
            <a:ln w="19050" cap="rnd">
              <a:solidFill>
                <a:srgbClr val="31869B">
                  <a:alpha val="85000"/>
                </a:srgbClr>
              </a:solidFill>
              <a:round/>
            </a:ln>
            <a:effectLst/>
          </c:spPr>
          <c:marker>
            <c:symbol val="circle"/>
            <c:size val="5"/>
            <c:spPr>
              <a:solidFill>
                <a:srgbClr val="31869B"/>
              </a:solidFill>
              <a:ln w="9525">
                <a:noFill/>
              </a:ln>
              <a:effectLst/>
            </c:spPr>
          </c:marker>
          <c:trendline>
            <c:spPr>
              <a:ln w="19050" cap="rnd">
                <a:solidFill>
                  <a:schemeClr val="accent1"/>
                </a:solidFill>
                <a:prstDash val="sysDot"/>
              </a:ln>
              <a:effectLst/>
            </c:spPr>
            <c:trendlineType val="linear"/>
            <c:dispRSqr val="0"/>
            <c:dispEq val="0"/>
          </c:trendline>
          <c:cat>
            <c:strRef>
              <c:f>Helper_Data!$A$2:$A$102</c:f>
              <c:strCache>
                <c:ptCount val="100"/>
                <c:pt idx="0">
                  <c:v>02-Jan</c:v>
                </c:pt>
                <c:pt idx="1">
                  <c:v>03-Jan</c:v>
                </c:pt>
                <c:pt idx="2">
                  <c:v>05-Jan</c:v>
                </c:pt>
                <c:pt idx="3">
                  <c:v>08-Jan</c:v>
                </c:pt>
                <c:pt idx="4">
                  <c:v>10-Jan</c:v>
                </c:pt>
                <c:pt idx="5">
                  <c:v>12-Jan</c:v>
                </c:pt>
                <c:pt idx="6">
                  <c:v>15-Jan</c:v>
                </c:pt>
                <c:pt idx="7">
                  <c:v>16-Jan</c:v>
                </c:pt>
                <c:pt idx="8">
                  <c:v>18-Jan</c:v>
                </c:pt>
                <c:pt idx="9">
                  <c:v>19-Jan</c:v>
                </c:pt>
                <c:pt idx="10">
                  <c:v>22-Jan</c:v>
                </c:pt>
                <c:pt idx="11">
                  <c:v>24-Jan</c:v>
                </c:pt>
                <c:pt idx="12">
                  <c:v>29-Jan</c:v>
                </c:pt>
                <c:pt idx="13">
                  <c:v>01-Feb</c:v>
                </c:pt>
                <c:pt idx="14">
                  <c:v>02-Feb</c:v>
                </c:pt>
                <c:pt idx="15">
                  <c:v>05-Feb</c:v>
                </c:pt>
                <c:pt idx="16">
                  <c:v>08-Feb</c:v>
                </c:pt>
                <c:pt idx="17">
                  <c:v>09-Feb</c:v>
                </c:pt>
                <c:pt idx="18">
                  <c:v>12-Feb</c:v>
                </c:pt>
                <c:pt idx="19">
                  <c:v>15-Feb</c:v>
                </c:pt>
                <c:pt idx="20">
                  <c:v>16-Feb</c:v>
                </c:pt>
                <c:pt idx="21">
                  <c:v>19-Feb</c:v>
                </c:pt>
                <c:pt idx="22">
                  <c:v>21-Feb</c:v>
                </c:pt>
                <c:pt idx="23">
                  <c:v>22-Feb</c:v>
                </c:pt>
                <c:pt idx="24">
                  <c:v>23-Feb</c:v>
                </c:pt>
                <c:pt idx="25">
                  <c:v>26-Feb</c:v>
                </c:pt>
                <c:pt idx="26">
                  <c:v>27-Feb</c:v>
                </c:pt>
                <c:pt idx="27">
                  <c:v>28-Feb</c:v>
                </c:pt>
                <c:pt idx="28">
                  <c:v>04-Mar</c:v>
                </c:pt>
                <c:pt idx="29">
                  <c:v>05-Mar</c:v>
                </c:pt>
                <c:pt idx="30">
                  <c:v>06-Mar</c:v>
                </c:pt>
                <c:pt idx="31">
                  <c:v>07-Mar</c:v>
                </c:pt>
                <c:pt idx="32">
                  <c:v>11-Mar</c:v>
                </c:pt>
                <c:pt idx="33">
                  <c:v>12-Mar</c:v>
                </c:pt>
                <c:pt idx="34">
                  <c:v>14-Mar</c:v>
                </c:pt>
                <c:pt idx="35">
                  <c:v>15-Mar</c:v>
                </c:pt>
                <c:pt idx="36">
                  <c:v>18-Mar</c:v>
                </c:pt>
                <c:pt idx="37">
                  <c:v>21-Mar</c:v>
                </c:pt>
                <c:pt idx="38">
                  <c:v>25-Mar</c:v>
                </c:pt>
                <c:pt idx="39">
                  <c:v>28-Mar</c:v>
                </c:pt>
                <c:pt idx="40">
                  <c:v>29-Mar</c:v>
                </c:pt>
                <c:pt idx="41">
                  <c:v>01-Apr</c:v>
                </c:pt>
                <c:pt idx="42">
                  <c:v>04-Apr</c:v>
                </c:pt>
                <c:pt idx="43">
                  <c:v>05-Apr</c:v>
                </c:pt>
                <c:pt idx="44">
                  <c:v>08-Apr</c:v>
                </c:pt>
                <c:pt idx="45">
                  <c:v>10-Apr</c:v>
                </c:pt>
                <c:pt idx="46">
                  <c:v>12-Apr</c:v>
                </c:pt>
                <c:pt idx="47">
                  <c:v>15-Apr</c:v>
                </c:pt>
                <c:pt idx="48">
                  <c:v>17-Apr</c:v>
                </c:pt>
                <c:pt idx="49">
                  <c:v>22-Apr</c:v>
                </c:pt>
                <c:pt idx="50">
                  <c:v>25-Apr</c:v>
                </c:pt>
                <c:pt idx="51">
                  <c:v>29-Apr</c:v>
                </c:pt>
                <c:pt idx="52">
                  <c:v>01-May</c:v>
                </c:pt>
                <c:pt idx="53">
                  <c:v>03-May</c:v>
                </c:pt>
                <c:pt idx="54">
                  <c:v>06-May</c:v>
                </c:pt>
                <c:pt idx="55">
                  <c:v>09-May</c:v>
                </c:pt>
                <c:pt idx="56">
                  <c:v>13-May</c:v>
                </c:pt>
                <c:pt idx="57">
                  <c:v>16-May</c:v>
                </c:pt>
                <c:pt idx="58">
                  <c:v>20-May</c:v>
                </c:pt>
                <c:pt idx="59">
                  <c:v>22-May</c:v>
                </c:pt>
                <c:pt idx="60">
                  <c:v>27-May</c:v>
                </c:pt>
                <c:pt idx="61">
                  <c:v>30-May</c:v>
                </c:pt>
                <c:pt idx="62">
                  <c:v>03-Jun</c:v>
                </c:pt>
                <c:pt idx="63">
                  <c:v>05-Jun</c:v>
                </c:pt>
                <c:pt idx="64">
                  <c:v>10-Jun</c:v>
                </c:pt>
                <c:pt idx="65">
                  <c:v>11-Jun</c:v>
                </c:pt>
                <c:pt idx="66">
                  <c:v>12-Jun</c:v>
                </c:pt>
                <c:pt idx="67">
                  <c:v>13-Jun</c:v>
                </c:pt>
                <c:pt idx="68">
                  <c:v>14-Jun</c:v>
                </c:pt>
                <c:pt idx="69">
                  <c:v>17-Jun</c:v>
                </c:pt>
                <c:pt idx="70">
                  <c:v>20-Jun</c:v>
                </c:pt>
                <c:pt idx="71">
                  <c:v>24-Jun</c:v>
                </c:pt>
                <c:pt idx="72">
                  <c:v>25-Jun</c:v>
                </c:pt>
                <c:pt idx="73">
                  <c:v>28-Jun</c:v>
                </c:pt>
                <c:pt idx="74">
                  <c:v>01-Jul</c:v>
                </c:pt>
                <c:pt idx="75">
                  <c:v>03-Jul</c:v>
                </c:pt>
                <c:pt idx="76">
                  <c:v>05-Jul</c:v>
                </c:pt>
                <c:pt idx="77">
                  <c:v>08-Jul</c:v>
                </c:pt>
                <c:pt idx="78">
                  <c:v>09-Jul</c:v>
                </c:pt>
                <c:pt idx="79">
                  <c:v>12-Jul</c:v>
                </c:pt>
                <c:pt idx="80">
                  <c:v>15-Jul</c:v>
                </c:pt>
                <c:pt idx="81">
                  <c:v>17-Jul</c:v>
                </c:pt>
                <c:pt idx="82">
                  <c:v>19-Jul</c:v>
                </c:pt>
                <c:pt idx="83">
                  <c:v>22-Jul</c:v>
                </c:pt>
                <c:pt idx="84">
                  <c:v>23-Jul</c:v>
                </c:pt>
                <c:pt idx="85">
                  <c:v>24-Jul</c:v>
                </c:pt>
                <c:pt idx="86">
                  <c:v>25-Jul</c:v>
                </c:pt>
                <c:pt idx="87">
                  <c:v>29-Jul</c:v>
                </c:pt>
                <c:pt idx="88">
                  <c:v>31-Jul</c:v>
                </c:pt>
                <c:pt idx="89">
                  <c:v>02-Aug</c:v>
                </c:pt>
                <c:pt idx="90">
                  <c:v>05-Aug</c:v>
                </c:pt>
                <c:pt idx="91">
                  <c:v>07-Aug</c:v>
                </c:pt>
                <c:pt idx="92">
                  <c:v>09-Aug</c:v>
                </c:pt>
                <c:pt idx="93">
                  <c:v>12-Aug</c:v>
                </c:pt>
                <c:pt idx="94">
                  <c:v>14-Aug</c:v>
                </c:pt>
                <c:pt idx="95">
                  <c:v>15-Aug</c:v>
                </c:pt>
                <c:pt idx="96">
                  <c:v>16-Aug</c:v>
                </c:pt>
                <c:pt idx="97">
                  <c:v>19-Aug</c:v>
                </c:pt>
                <c:pt idx="98">
                  <c:v>22-Aug</c:v>
                </c:pt>
                <c:pt idx="99">
                  <c:v>26-Aug</c:v>
                </c:pt>
              </c:strCache>
            </c:strRef>
          </c:cat>
          <c:val>
            <c:numRef>
              <c:f>Helper_Data!$B$2:$B$102</c:f>
              <c:numCache>
                <c:formatCode>_-[$$-409]* #,##0.00_ ;_-[$$-409]* \-#,##0.00\ ;_-[$$-409]* "-"??_ ;_-@_ </c:formatCode>
                <c:ptCount val="100"/>
                <c:pt idx="0">
                  <c:v>-29.059999999999864</c:v>
                </c:pt>
                <c:pt idx="1">
                  <c:v>6.1200000000003634</c:v>
                </c:pt>
                <c:pt idx="2">
                  <c:v>-1.3699999999994539</c:v>
                </c:pt>
                <c:pt idx="3">
                  <c:v>76.139999999999944</c:v>
                </c:pt>
                <c:pt idx="4">
                  <c:v>-48.89999999999975</c:v>
                </c:pt>
                <c:pt idx="5">
                  <c:v>5783.8699999996415</c:v>
                </c:pt>
                <c:pt idx="6">
                  <c:v>-34.849999999999497</c:v>
                </c:pt>
                <c:pt idx="7">
                  <c:v>-6.4600000000006368</c:v>
                </c:pt>
                <c:pt idx="8">
                  <c:v>436.67166000000026</c:v>
                </c:pt>
                <c:pt idx="9">
                  <c:v>21.889999999999954</c:v>
                </c:pt>
                <c:pt idx="10">
                  <c:v>-40.10999999999985</c:v>
                </c:pt>
                <c:pt idx="11">
                  <c:v>57.140000000001734</c:v>
                </c:pt>
                <c:pt idx="12">
                  <c:v>-25.649999999999451</c:v>
                </c:pt>
                <c:pt idx="13">
                  <c:v>-36.339999999999449</c:v>
                </c:pt>
                <c:pt idx="14">
                  <c:v>20.370000000000047</c:v>
                </c:pt>
                <c:pt idx="15">
                  <c:v>41.860000000000056</c:v>
                </c:pt>
                <c:pt idx="16">
                  <c:v>179.52670000000083</c:v>
                </c:pt>
                <c:pt idx="17">
                  <c:v>-16.099999999999408</c:v>
                </c:pt>
                <c:pt idx="18">
                  <c:v>107.67000000000012</c:v>
                </c:pt>
                <c:pt idx="19">
                  <c:v>-12.96</c:v>
                </c:pt>
                <c:pt idx="20">
                  <c:v>-7.9799999999995421</c:v>
                </c:pt>
                <c:pt idx="21">
                  <c:v>-22.559999999999548</c:v>
                </c:pt>
                <c:pt idx="22">
                  <c:v>-74.539239999999694</c:v>
                </c:pt>
                <c:pt idx="23">
                  <c:v>107.76999999999978</c:v>
                </c:pt>
                <c:pt idx="24">
                  <c:v>-21.580000000000339</c:v>
                </c:pt>
                <c:pt idx="25">
                  <c:v>68.779999999999802</c:v>
                </c:pt>
                <c:pt idx="26">
                  <c:v>-25.029999999999568</c:v>
                </c:pt>
                <c:pt idx="27">
                  <c:v>-1537.2300000002665</c:v>
                </c:pt>
                <c:pt idx="28">
                  <c:v>24.470000000001043</c:v>
                </c:pt>
                <c:pt idx="29">
                  <c:v>12.390000000000091</c:v>
                </c:pt>
                <c:pt idx="30">
                  <c:v>2.9300000000000903</c:v>
                </c:pt>
                <c:pt idx="31">
                  <c:v>2580.2699999997762</c:v>
                </c:pt>
                <c:pt idx="32">
                  <c:v>-14.100000000000454</c:v>
                </c:pt>
                <c:pt idx="33">
                  <c:v>-0.52000000000004576</c:v>
                </c:pt>
                <c:pt idx="34">
                  <c:v>-8.4199999999999555</c:v>
                </c:pt>
                <c:pt idx="35">
                  <c:v>-21.99</c:v>
                </c:pt>
                <c:pt idx="36">
                  <c:v>16.95999999999615</c:v>
                </c:pt>
                <c:pt idx="37">
                  <c:v>-28.099999999999177</c:v>
                </c:pt>
                <c:pt idx="38">
                  <c:v>-33.800000000000068</c:v>
                </c:pt>
                <c:pt idx="39">
                  <c:v>17.560000000001704</c:v>
                </c:pt>
                <c:pt idx="40">
                  <c:v>46.330000000000219</c:v>
                </c:pt>
                <c:pt idx="41">
                  <c:v>-245.78896999999955</c:v>
                </c:pt>
                <c:pt idx="42">
                  <c:v>-25.839999999999726</c:v>
                </c:pt>
                <c:pt idx="43">
                  <c:v>208.07327000000032</c:v>
                </c:pt>
                <c:pt idx="44">
                  <c:v>14.309999999996361</c:v>
                </c:pt>
                <c:pt idx="45">
                  <c:v>-33.000000000000071</c:v>
                </c:pt>
                <c:pt idx="46">
                  <c:v>-92.407620000001344</c:v>
                </c:pt>
                <c:pt idx="47">
                  <c:v>-0.82000000000054563</c:v>
                </c:pt>
                <c:pt idx="48">
                  <c:v>25.130000000001044</c:v>
                </c:pt>
                <c:pt idx="49">
                  <c:v>76.960000000001884</c:v>
                </c:pt>
                <c:pt idx="50">
                  <c:v>3.450000000000319</c:v>
                </c:pt>
                <c:pt idx="51">
                  <c:v>10.690000000000273</c:v>
                </c:pt>
                <c:pt idx="52">
                  <c:v>-42.550000000004175</c:v>
                </c:pt>
                <c:pt idx="53">
                  <c:v>-12.579999999999682</c:v>
                </c:pt>
                <c:pt idx="54">
                  <c:v>71.929999999999893</c:v>
                </c:pt>
                <c:pt idx="55">
                  <c:v>96.100000000000051</c:v>
                </c:pt>
                <c:pt idx="56">
                  <c:v>-14.019999999999712</c:v>
                </c:pt>
                <c:pt idx="57">
                  <c:v>-2.910000000000359</c:v>
                </c:pt>
                <c:pt idx="58">
                  <c:v>2169.7599999996382</c:v>
                </c:pt>
                <c:pt idx="59">
                  <c:v>-40.099999999998019</c:v>
                </c:pt>
                <c:pt idx="60">
                  <c:v>32.590000000001837</c:v>
                </c:pt>
                <c:pt idx="61">
                  <c:v>-27.380000000000681</c:v>
                </c:pt>
                <c:pt idx="62">
                  <c:v>-132.00562999999937</c:v>
                </c:pt>
                <c:pt idx="63">
                  <c:v>55.498000000000182</c:v>
                </c:pt>
                <c:pt idx="64">
                  <c:v>-27.820000000000181</c:v>
                </c:pt>
                <c:pt idx="65">
                  <c:v>-31.759999999998016</c:v>
                </c:pt>
                <c:pt idx="66">
                  <c:v>116.87239999999943</c:v>
                </c:pt>
                <c:pt idx="67">
                  <c:v>-14.96000000000009</c:v>
                </c:pt>
                <c:pt idx="68">
                  <c:v>-12.500000000000444</c:v>
                </c:pt>
                <c:pt idx="69">
                  <c:v>-42.199999999996692</c:v>
                </c:pt>
                <c:pt idx="70">
                  <c:v>-10.690000000000364</c:v>
                </c:pt>
                <c:pt idx="71">
                  <c:v>2.6600000000005455</c:v>
                </c:pt>
                <c:pt idx="72">
                  <c:v>4.6700000000003179</c:v>
                </c:pt>
                <c:pt idx="73">
                  <c:v>24.890000000001379</c:v>
                </c:pt>
                <c:pt idx="74">
                  <c:v>-41.290000000000134</c:v>
                </c:pt>
                <c:pt idx="75">
                  <c:v>127.19600000000008</c:v>
                </c:pt>
                <c:pt idx="76">
                  <c:v>12.859999999999488</c:v>
                </c:pt>
                <c:pt idx="77">
                  <c:v>3.1999999999994557</c:v>
                </c:pt>
                <c:pt idx="78">
                  <c:v>38.004000000000005</c:v>
                </c:pt>
                <c:pt idx="79">
                  <c:v>134.01315000000017</c:v>
                </c:pt>
                <c:pt idx="80">
                  <c:v>425.97333000000185</c:v>
                </c:pt>
                <c:pt idx="81">
                  <c:v>72.73200000000007</c:v>
                </c:pt>
                <c:pt idx="82">
                  <c:v>-43.399999999997249</c:v>
                </c:pt>
                <c:pt idx="83">
                  <c:v>1827.8500000000226</c:v>
                </c:pt>
                <c:pt idx="84">
                  <c:v>-33.560000000005672</c:v>
                </c:pt>
                <c:pt idx="85">
                  <c:v>42.494399999999985</c:v>
                </c:pt>
                <c:pt idx="86">
                  <c:v>-37.350000000000065</c:v>
                </c:pt>
                <c:pt idx="87">
                  <c:v>-35.017499999999863</c:v>
                </c:pt>
                <c:pt idx="88">
                  <c:v>-9.4700000000001374</c:v>
                </c:pt>
                <c:pt idx="89">
                  <c:v>17.049999999999898</c:v>
                </c:pt>
                <c:pt idx="90">
                  <c:v>52.029999999999632</c:v>
                </c:pt>
                <c:pt idx="91">
                  <c:v>-27.710000000005671</c:v>
                </c:pt>
                <c:pt idx="92">
                  <c:v>-12.589999999999748</c:v>
                </c:pt>
                <c:pt idx="93">
                  <c:v>-77.99000000000359</c:v>
                </c:pt>
                <c:pt idx="94">
                  <c:v>6.0999999999998185</c:v>
                </c:pt>
                <c:pt idx="95">
                  <c:v>-15.669999999999778</c:v>
                </c:pt>
                <c:pt idx="96">
                  <c:v>-49.388499999999908</c:v>
                </c:pt>
                <c:pt idx="97">
                  <c:v>-39.019999999999456</c:v>
                </c:pt>
                <c:pt idx="98">
                  <c:v>2375.570000000394</c:v>
                </c:pt>
                <c:pt idx="99">
                  <c:v>-1706.8999999995908</c:v>
                </c:pt>
              </c:numCache>
            </c:numRef>
          </c:val>
          <c:smooth val="0"/>
          <c:extLst>
            <c:ext xmlns:c16="http://schemas.microsoft.com/office/drawing/2014/chart" uri="{C3380CC4-5D6E-409C-BE32-E72D297353CC}">
              <c16:uniqueId val="{00000000-0D8C-4178-B169-F186F5E67755}"/>
            </c:ext>
          </c:extLst>
        </c:ser>
        <c:dLbls>
          <c:showLegendKey val="0"/>
          <c:showVal val="0"/>
          <c:showCatName val="0"/>
          <c:showSerName val="0"/>
          <c:showPercent val="0"/>
          <c:showBubbleSize val="0"/>
        </c:dLbls>
        <c:marker val="1"/>
        <c:smooth val="0"/>
        <c:axId val="1346072864"/>
        <c:axId val="1346069024"/>
      </c:lineChart>
      <c:catAx>
        <c:axId val="13460728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69024"/>
        <c:crosses val="autoZero"/>
        <c:auto val="1"/>
        <c:lblAlgn val="ctr"/>
        <c:lblOffset val="100"/>
        <c:noMultiLvlLbl val="0"/>
      </c:catAx>
      <c:valAx>
        <c:axId val="134606902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[trading_tracker.xlsx]Helper_Data!Win/Loss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rPr>
              <a:t>Trade</a:t>
            </a:r>
            <a:r>
              <a:rPr lang="en-US" sz="1200" baseline="0">
                <a:solidFill>
                  <a:schemeClr val="bg1"/>
                </a:solidFill>
              </a:rPr>
              <a:t> Outcomes</a:t>
            </a:r>
            <a:endParaRPr lang="en-US"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B4631"/>
          </a:solidFill>
          <a:ln w="19050">
            <a:solidFill>
              <a:schemeClr val="lt1"/>
            </a:solidFill>
          </a:ln>
          <a:effectLst/>
        </c:spPr>
      </c:pivotFmt>
      <c:pivotFmt>
        <c:idx val="2"/>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31869B"/>
          </a:solidFill>
          <a:ln w="19050">
            <a:solidFill>
              <a:schemeClr val="lt1"/>
            </a:solidFill>
          </a:ln>
          <a:effectLst/>
        </c:spPr>
        <c:dLbl>
          <c:idx val="0"/>
          <c:layout>
            <c:manualLayout>
              <c:x val="0.13636363636363635"/>
              <c:y val="3.94736842105263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9B4631"/>
          </a:solidFill>
          <a:ln w="19050">
            <a:solidFill>
              <a:schemeClr val="lt1"/>
            </a:solidFill>
          </a:ln>
          <a:effectLst/>
        </c:spPr>
        <c:dLbl>
          <c:idx val="0"/>
          <c:layout>
            <c:manualLayout>
              <c:x val="-6.5656565656565663E-2"/>
              <c:y val="-0.14473684210526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Helper_Data!$E$2</c:f>
              <c:strCache>
                <c:ptCount val="1"/>
                <c:pt idx="0">
                  <c:v>Total</c:v>
                </c:pt>
              </c:strCache>
            </c:strRef>
          </c:tx>
          <c:spPr>
            <a:solidFill>
              <a:srgbClr val="31869B"/>
            </a:solidFill>
          </c:spPr>
          <c:dPt>
            <c:idx val="0"/>
            <c:bubble3D val="0"/>
            <c:spPr>
              <a:solidFill>
                <a:srgbClr val="31869B"/>
              </a:solidFill>
              <a:ln w="19050">
                <a:solidFill>
                  <a:schemeClr val="lt1"/>
                </a:solidFill>
              </a:ln>
              <a:effectLst/>
            </c:spPr>
            <c:extLst>
              <c:ext xmlns:c16="http://schemas.microsoft.com/office/drawing/2014/chart" uri="{C3380CC4-5D6E-409C-BE32-E72D297353CC}">
                <c16:uniqueId val="{00000001-DC44-45EA-8B03-AD7A7DD7527D}"/>
              </c:ext>
            </c:extLst>
          </c:dPt>
          <c:dPt>
            <c:idx val="1"/>
            <c:bubble3D val="0"/>
            <c:spPr>
              <a:solidFill>
                <a:srgbClr val="9B4631"/>
              </a:solidFill>
              <a:ln w="19050">
                <a:solidFill>
                  <a:schemeClr val="lt1"/>
                </a:solidFill>
              </a:ln>
              <a:effectLst/>
            </c:spPr>
            <c:extLst>
              <c:ext xmlns:c16="http://schemas.microsoft.com/office/drawing/2014/chart" uri="{C3380CC4-5D6E-409C-BE32-E72D297353CC}">
                <c16:uniqueId val="{00000003-DC44-45EA-8B03-AD7A7DD7527D}"/>
              </c:ext>
            </c:extLst>
          </c:dPt>
          <c:dLbls>
            <c:dLbl>
              <c:idx val="0"/>
              <c:layout>
                <c:manualLayout>
                  <c:x val="0.13636363636363635"/>
                  <c:y val="3.94736842105263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44-45EA-8B03-AD7A7DD7527D}"/>
                </c:ext>
              </c:extLst>
            </c:dLbl>
            <c:dLbl>
              <c:idx val="1"/>
              <c:layout>
                <c:manualLayout>
                  <c:x val="-6.5656565656565663E-2"/>
                  <c:y val="-0.144736842105263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44-45EA-8B03-AD7A7DD752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Helper_Data!$D$3:$D$5</c:f>
              <c:strCache>
                <c:ptCount val="2"/>
                <c:pt idx="0">
                  <c:v>Loss</c:v>
                </c:pt>
                <c:pt idx="1">
                  <c:v>Win</c:v>
                </c:pt>
              </c:strCache>
            </c:strRef>
          </c:cat>
          <c:val>
            <c:numRef>
              <c:f>Helper_Data!$E$3:$E$5</c:f>
              <c:numCache>
                <c:formatCode>General</c:formatCode>
                <c:ptCount val="2"/>
                <c:pt idx="0">
                  <c:v>53</c:v>
                </c:pt>
                <c:pt idx="1">
                  <c:v>47</c:v>
                </c:pt>
              </c:numCache>
            </c:numRef>
          </c:val>
          <c:extLst>
            <c:ext xmlns:c16="http://schemas.microsoft.com/office/drawing/2014/chart" uri="{C3380CC4-5D6E-409C-BE32-E72D297353CC}">
              <c16:uniqueId val="{00000004-DC44-45EA-8B03-AD7A7DD7527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[trading_tracker.xlsx]Helper_Data!Strategy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bg1"/>
                </a:solidFill>
              </a:rPr>
              <a:t>Top</a:t>
            </a:r>
            <a:r>
              <a:rPr lang="en-IN" sz="1200" baseline="0">
                <a:solidFill>
                  <a:schemeClr val="bg1"/>
                </a:solidFill>
              </a:rPr>
              <a:t> 3 Strategies</a:t>
            </a:r>
            <a:endParaRPr lang="en-IN"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1869B"/>
          </a:solidFill>
          <a:ln>
            <a:noFill/>
          </a:ln>
          <a:effectLst/>
        </c:spPr>
        <c:marker>
          <c:symbol val="none"/>
        </c:marker>
        <c:dLbl>
          <c:idx val="0"/>
          <c:numFmt formatCode="[$$-409]#,##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1869B"/>
          </a:solidFill>
          <a:ln>
            <a:noFill/>
          </a:ln>
          <a:effectLst/>
        </c:spPr>
      </c:pivotFmt>
      <c:pivotFmt>
        <c:idx val="4"/>
        <c:spPr>
          <a:solidFill>
            <a:srgbClr val="31869B"/>
          </a:solidFill>
          <a:ln>
            <a:noFill/>
          </a:ln>
          <a:effectLst/>
        </c:spPr>
      </c:pivotFmt>
      <c:pivotFmt>
        <c:idx val="5"/>
        <c:spPr>
          <a:solidFill>
            <a:srgbClr val="31869B"/>
          </a:solidFill>
          <a:ln>
            <a:noFill/>
          </a:ln>
          <a:effectLst/>
        </c:spPr>
      </c:pivotFmt>
    </c:pivotFmts>
    <c:plotArea>
      <c:layout/>
      <c:barChart>
        <c:barDir val="col"/>
        <c:grouping val="clustered"/>
        <c:varyColors val="0"/>
        <c:ser>
          <c:idx val="0"/>
          <c:order val="0"/>
          <c:tx>
            <c:strRef>
              <c:f>Helper_Data!$H$2</c:f>
              <c:strCache>
                <c:ptCount val="1"/>
                <c:pt idx="0">
                  <c:v>Total</c:v>
                </c:pt>
              </c:strCache>
            </c:strRef>
          </c:tx>
          <c:spPr>
            <a:solidFill>
              <a:srgbClr val="31869B"/>
            </a:solidFill>
            <a:ln>
              <a:noFill/>
            </a:ln>
            <a:effectLst/>
          </c:spPr>
          <c:invertIfNegative val="0"/>
          <c:dLbls>
            <c:numFmt formatCode="[$$-409]#,##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Helper_Data!$G$3:$G$6</c:f>
              <c:strCache>
                <c:ptCount val="3"/>
                <c:pt idx="0">
                  <c:v>Earnings Play</c:v>
                </c:pt>
                <c:pt idx="1">
                  <c:v>Scalp</c:v>
                </c:pt>
                <c:pt idx="2">
                  <c:v>Range Bound</c:v>
                </c:pt>
              </c:strCache>
            </c:strRef>
          </c:cat>
          <c:val>
            <c:numRef>
              <c:f>Helper_Data!$H$3:$H$6</c:f>
              <c:numCache>
                <c:formatCode>_-[$$-409]* #,##0.00_ ;_-[$$-409]* \-#,##0.00\ ;_-[$$-409]* "-"??_ ;_-@_ </c:formatCode>
                <c:ptCount val="3"/>
                <c:pt idx="0">
                  <c:v>5820.2104999996391</c:v>
                </c:pt>
                <c:pt idx="1">
                  <c:v>4957.9927600001711</c:v>
                </c:pt>
                <c:pt idx="2">
                  <c:v>1503.612530000024</c:v>
                </c:pt>
              </c:numCache>
            </c:numRef>
          </c:val>
          <c:extLst>
            <c:ext xmlns:c16="http://schemas.microsoft.com/office/drawing/2014/chart" uri="{C3380CC4-5D6E-409C-BE32-E72D297353CC}">
              <c16:uniqueId val="{00000000-7F83-4DDA-8460-53B82567067E}"/>
            </c:ext>
          </c:extLst>
        </c:ser>
        <c:dLbls>
          <c:showLegendKey val="0"/>
          <c:showVal val="0"/>
          <c:showCatName val="0"/>
          <c:showSerName val="0"/>
          <c:showPercent val="0"/>
          <c:showBubbleSize val="0"/>
        </c:dLbls>
        <c:gapWidth val="219"/>
        <c:overlap val="-27"/>
        <c:axId val="1346072384"/>
        <c:axId val="1346073824"/>
      </c:barChart>
      <c:catAx>
        <c:axId val="13460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73824"/>
        <c:crosses val="autoZero"/>
        <c:auto val="1"/>
        <c:lblAlgn val="ctr"/>
        <c:lblOffset val="100"/>
        <c:noMultiLvlLbl val="0"/>
      </c:catAx>
      <c:valAx>
        <c:axId val="1346073824"/>
        <c:scaling>
          <c:orientation val="minMax"/>
        </c:scaling>
        <c:delete val="1"/>
        <c:axPos val="l"/>
        <c:numFmt formatCode="_-[$$-409]* #,##0.00_ ;_-[$$-409]* \-#,##0.00\ ;_-[$$-409]* &quot;-&quot;??_ ;_-@_ " sourceLinked="1"/>
        <c:majorTickMark val="none"/>
        <c:minorTickMark val="none"/>
        <c:tickLblPos val="nextTo"/>
        <c:crossAx val="134607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248493</xdr:colOff>
      <xdr:row>5</xdr:row>
      <xdr:rowOff>52575</xdr:rowOff>
    </xdr:from>
    <xdr:to>
      <xdr:col>16</xdr:col>
      <xdr:colOff>536493</xdr:colOff>
      <xdr:row>6</xdr:row>
      <xdr:rowOff>157309</xdr:rowOff>
    </xdr:to>
    <xdr:grpSp>
      <xdr:nvGrpSpPr>
        <xdr:cNvPr id="9" name="Group 8">
          <a:extLst>
            <a:ext uri="{FF2B5EF4-FFF2-40B4-BE49-F238E27FC236}">
              <a16:creationId xmlns:a16="http://schemas.microsoft.com/office/drawing/2014/main" id="{EBC5747C-7AD0-3B02-EC83-3918D821A0A9}"/>
            </a:ext>
          </a:extLst>
        </xdr:cNvPr>
        <xdr:cNvGrpSpPr/>
      </xdr:nvGrpSpPr>
      <xdr:grpSpPr>
        <a:xfrm>
          <a:off x="9595050" y="1200398"/>
          <a:ext cx="288000" cy="288000"/>
          <a:chOff x="6129282" y="418663"/>
          <a:chExt cx="429173" cy="325821"/>
        </a:xfrm>
      </xdr:grpSpPr>
      <xdr:sp macro="" textlink="">
        <xdr:nvSpPr>
          <xdr:cNvPr id="4" name="Oval 3">
            <a:extLst>
              <a:ext uri="{FF2B5EF4-FFF2-40B4-BE49-F238E27FC236}">
                <a16:creationId xmlns:a16="http://schemas.microsoft.com/office/drawing/2014/main" id="{0045A408-E267-4088-967F-020CC68C6E94}"/>
              </a:ext>
            </a:extLst>
          </xdr:cNvPr>
          <xdr:cNvSpPr/>
        </xdr:nvSpPr>
        <xdr:spPr>
          <a:xfrm>
            <a:off x="6129282" y="418663"/>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8" name="Graphic 7" descr="Dollar with solid fill">
            <a:extLst>
              <a:ext uri="{FF2B5EF4-FFF2-40B4-BE49-F238E27FC236}">
                <a16:creationId xmlns:a16="http://schemas.microsoft.com/office/drawing/2014/main" id="{6F64C51A-E312-F191-DDE7-19823FA21E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83585" y="420414"/>
            <a:ext cx="324070" cy="324070"/>
          </a:xfrm>
          <a:prstGeom prst="rect">
            <a:avLst/>
          </a:prstGeom>
        </xdr:spPr>
      </xdr:pic>
    </xdr:grpSp>
    <xdr:clientData/>
  </xdr:twoCellAnchor>
  <xdr:twoCellAnchor>
    <xdr:from>
      <xdr:col>1</xdr:col>
      <xdr:colOff>395025</xdr:colOff>
      <xdr:row>1</xdr:row>
      <xdr:rowOff>40163</xdr:rowOff>
    </xdr:from>
    <xdr:to>
      <xdr:col>2</xdr:col>
      <xdr:colOff>75354</xdr:colOff>
      <xdr:row>2</xdr:row>
      <xdr:rowOff>135252</xdr:rowOff>
    </xdr:to>
    <xdr:grpSp>
      <xdr:nvGrpSpPr>
        <xdr:cNvPr id="12" name="Group 11">
          <a:extLst>
            <a:ext uri="{FF2B5EF4-FFF2-40B4-BE49-F238E27FC236}">
              <a16:creationId xmlns:a16="http://schemas.microsoft.com/office/drawing/2014/main" id="{6E6C7E44-FFA1-E301-7ACD-ECB35639E8ED}"/>
            </a:ext>
          </a:extLst>
        </xdr:cNvPr>
        <xdr:cNvGrpSpPr/>
      </xdr:nvGrpSpPr>
      <xdr:grpSpPr>
        <a:xfrm>
          <a:off x="626519" y="425986"/>
          <a:ext cx="288000" cy="288000"/>
          <a:chOff x="613103" y="377758"/>
          <a:chExt cx="429173" cy="361468"/>
        </a:xfrm>
      </xdr:grpSpPr>
      <xdr:sp macro="" textlink="">
        <xdr:nvSpPr>
          <xdr:cNvPr id="2" name="Oval 1">
            <a:extLst>
              <a:ext uri="{FF2B5EF4-FFF2-40B4-BE49-F238E27FC236}">
                <a16:creationId xmlns:a16="http://schemas.microsoft.com/office/drawing/2014/main" id="{1DB486AE-8F60-55CE-4F81-2CE171CC7F71}"/>
              </a:ext>
            </a:extLst>
          </xdr:cNvPr>
          <xdr:cNvSpPr/>
        </xdr:nvSpPr>
        <xdr:spPr>
          <a:xfrm>
            <a:off x="613103" y="411656"/>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1" name="Graphic 10" descr="Upward trend with solid fill">
            <a:extLst>
              <a:ext uri="{FF2B5EF4-FFF2-40B4-BE49-F238E27FC236}">
                <a16:creationId xmlns:a16="http://schemas.microsoft.com/office/drawing/2014/main" id="{2FFCF923-1B55-7273-B507-B53976B1CC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5655" y="377758"/>
            <a:ext cx="353848" cy="361468"/>
          </a:xfrm>
          <a:prstGeom prst="rect">
            <a:avLst/>
          </a:prstGeom>
        </xdr:spPr>
      </xdr:pic>
    </xdr:grpSp>
    <xdr:clientData/>
  </xdr:twoCellAnchor>
  <xdr:twoCellAnchor>
    <xdr:from>
      <xdr:col>7</xdr:col>
      <xdr:colOff>400827</xdr:colOff>
      <xdr:row>1</xdr:row>
      <xdr:rowOff>28385</xdr:rowOff>
    </xdr:from>
    <xdr:to>
      <xdr:col>8</xdr:col>
      <xdr:colOff>81156</xdr:colOff>
      <xdr:row>2</xdr:row>
      <xdr:rowOff>123474</xdr:rowOff>
    </xdr:to>
    <xdr:grpSp>
      <xdr:nvGrpSpPr>
        <xdr:cNvPr id="15" name="Group 14">
          <a:extLst>
            <a:ext uri="{FF2B5EF4-FFF2-40B4-BE49-F238E27FC236}">
              <a16:creationId xmlns:a16="http://schemas.microsoft.com/office/drawing/2014/main" id="{EC559B99-CA8C-C1BE-58E3-36C8438F6744}"/>
            </a:ext>
          </a:extLst>
        </xdr:cNvPr>
        <xdr:cNvGrpSpPr/>
      </xdr:nvGrpSpPr>
      <xdr:grpSpPr>
        <a:xfrm>
          <a:off x="4278346" y="414208"/>
          <a:ext cx="288000" cy="288000"/>
          <a:chOff x="4293475" y="388879"/>
          <a:chExt cx="429173" cy="367864"/>
        </a:xfrm>
      </xdr:grpSpPr>
      <xdr:sp macro="" textlink="">
        <xdr:nvSpPr>
          <xdr:cNvPr id="5" name="Oval 4">
            <a:extLst>
              <a:ext uri="{FF2B5EF4-FFF2-40B4-BE49-F238E27FC236}">
                <a16:creationId xmlns:a16="http://schemas.microsoft.com/office/drawing/2014/main" id="{725A1D40-D38D-4EAA-9B06-BCA7AA6C2EC3}"/>
              </a:ext>
            </a:extLst>
          </xdr:cNvPr>
          <xdr:cNvSpPr/>
        </xdr:nvSpPr>
        <xdr:spPr>
          <a:xfrm>
            <a:off x="4293475" y="413407"/>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4" name="Graphic 13" descr="Bullseye with solid fill">
            <a:extLst>
              <a:ext uri="{FF2B5EF4-FFF2-40B4-BE49-F238E27FC236}">
                <a16:creationId xmlns:a16="http://schemas.microsoft.com/office/drawing/2014/main" id="{E922AFE5-C752-7C97-39C0-2EAB096110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5515" y="388879"/>
            <a:ext cx="367864" cy="367864"/>
          </a:xfrm>
          <a:prstGeom prst="rect">
            <a:avLst/>
          </a:prstGeom>
        </xdr:spPr>
      </xdr:pic>
    </xdr:grpSp>
    <xdr:clientData/>
  </xdr:twoCellAnchor>
  <xdr:twoCellAnchor>
    <xdr:from>
      <xdr:col>4</xdr:col>
      <xdr:colOff>386081</xdr:colOff>
      <xdr:row>1</xdr:row>
      <xdr:rowOff>10861</xdr:rowOff>
    </xdr:from>
    <xdr:to>
      <xdr:col>5</xdr:col>
      <xdr:colOff>66410</xdr:colOff>
      <xdr:row>2</xdr:row>
      <xdr:rowOff>105950</xdr:rowOff>
    </xdr:to>
    <xdr:grpSp>
      <xdr:nvGrpSpPr>
        <xdr:cNvPr id="20" name="Group 19">
          <a:extLst>
            <a:ext uri="{FF2B5EF4-FFF2-40B4-BE49-F238E27FC236}">
              <a16:creationId xmlns:a16="http://schemas.microsoft.com/office/drawing/2014/main" id="{59BE918A-E3DE-8543-7189-864A45D2D7A2}"/>
            </a:ext>
          </a:extLst>
        </xdr:cNvPr>
        <xdr:cNvGrpSpPr/>
      </xdr:nvGrpSpPr>
      <xdr:grpSpPr>
        <a:xfrm>
          <a:off x="2440587" y="396684"/>
          <a:ext cx="288000" cy="288000"/>
          <a:chOff x="2422635" y="376621"/>
          <a:chExt cx="429173" cy="353847"/>
        </a:xfrm>
      </xdr:grpSpPr>
      <xdr:sp macro="" textlink="">
        <xdr:nvSpPr>
          <xdr:cNvPr id="6" name="Oval 5">
            <a:extLst>
              <a:ext uri="{FF2B5EF4-FFF2-40B4-BE49-F238E27FC236}">
                <a16:creationId xmlns:a16="http://schemas.microsoft.com/office/drawing/2014/main" id="{CA671389-BC9B-436B-A0A8-B7E98D2800E9}"/>
              </a:ext>
            </a:extLst>
          </xdr:cNvPr>
          <xdr:cNvSpPr/>
        </xdr:nvSpPr>
        <xdr:spPr>
          <a:xfrm>
            <a:off x="2422635" y="408153"/>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9" name="Graphic 18" descr="Money with solid fill">
            <a:extLst>
              <a:ext uri="{FF2B5EF4-FFF2-40B4-BE49-F238E27FC236}">
                <a16:creationId xmlns:a16="http://schemas.microsoft.com/office/drawing/2014/main" id="{58AA7453-47FB-8702-989C-1DE2EF5832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8690" y="376621"/>
            <a:ext cx="353847" cy="353847"/>
          </a:xfrm>
          <a:prstGeom prst="rect">
            <a:avLst/>
          </a:prstGeom>
        </xdr:spPr>
      </xdr:pic>
    </xdr:grpSp>
    <xdr:clientData/>
  </xdr:twoCellAnchor>
  <xdr:twoCellAnchor>
    <xdr:from>
      <xdr:col>16</xdr:col>
      <xdr:colOff>257645</xdr:colOff>
      <xdr:row>1</xdr:row>
      <xdr:rowOff>26142</xdr:rowOff>
    </xdr:from>
    <xdr:to>
      <xdr:col>16</xdr:col>
      <xdr:colOff>545645</xdr:colOff>
      <xdr:row>2</xdr:row>
      <xdr:rowOff>121231</xdr:rowOff>
    </xdr:to>
    <xdr:grpSp>
      <xdr:nvGrpSpPr>
        <xdr:cNvPr id="23" name="Group 22">
          <a:extLst>
            <a:ext uri="{FF2B5EF4-FFF2-40B4-BE49-F238E27FC236}">
              <a16:creationId xmlns:a16="http://schemas.microsoft.com/office/drawing/2014/main" id="{7EA3AE48-9D7D-5999-CCDF-D376E7949D94}"/>
            </a:ext>
          </a:extLst>
        </xdr:cNvPr>
        <xdr:cNvGrpSpPr/>
      </xdr:nvGrpSpPr>
      <xdr:grpSpPr>
        <a:xfrm>
          <a:off x="9604202" y="411965"/>
          <a:ext cx="288000" cy="288000"/>
          <a:chOff x="8000123" y="385381"/>
          <a:chExt cx="429173" cy="371364"/>
        </a:xfrm>
      </xdr:grpSpPr>
      <xdr:sp macro="" textlink="">
        <xdr:nvSpPr>
          <xdr:cNvPr id="3" name="Oval 2">
            <a:extLst>
              <a:ext uri="{FF2B5EF4-FFF2-40B4-BE49-F238E27FC236}">
                <a16:creationId xmlns:a16="http://schemas.microsoft.com/office/drawing/2014/main" id="{D456313C-D038-48B4-8EDC-C91EEEA8C664}"/>
              </a:ext>
            </a:extLst>
          </xdr:cNvPr>
          <xdr:cNvSpPr/>
        </xdr:nvSpPr>
        <xdr:spPr>
          <a:xfrm>
            <a:off x="8000123" y="415160"/>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2" name="Graphic 21" descr="Coins with solid fill">
            <a:extLst>
              <a:ext uri="{FF2B5EF4-FFF2-40B4-BE49-F238E27FC236}">
                <a16:creationId xmlns:a16="http://schemas.microsoft.com/office/drawing/2014/main" id="{0C951FF8-7CE8-0AC6-49D2-562050907A1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31657" y="385381"/>
            <a:ext cx="371364" cy="371364"/>
          </a:xfrm>
          <a:prstGeom prst="rect">
            <a:avLst/>
          </a:prstGeom>
        </xdr:spPr>
      </xdr:pic>
    </xdr:grpSp>
    <xdr:clientData/>
  </xdr:twoCellAnchor>
  <xdr:twoCellAnchor>
    <xdr:from>
      <xdr:col>8</xdr:col>
      <xdr:colOff>60960</xdr:colOff>
      <xdr:row>0</xdr:row>
      <xdr:rowOff>38100</xdr:rowOff>
    </xdr:from>
    <xdr:to>
      <xdr:col>9</xdr:col>
      <xdr:colOff>68580</xdr:colOff>
      <xdr:row>0</xdr:row>
      <xdr:rowOff>350520</xdr:rowOff>
    </xdr:to>
    <xdr:sp macro="" textlink="">
      <xdr:nvSpPr>
        <xdr:cNvPr id="40" name="Oval 39">
          <a:extLst>
            <a:ext uri="{FF2B5EF4-FFF2-40B4-BE49-F238E27FC236}">
              <a16:creationId xmlns:a16="http://schemas.microsoft.com/office/drawing/2014/main" id="{50E73F28-86C5-222A-3A7D-C92B74F527B3}"/>
            </a:ext>
          </a:extLst>
        </xdr:cNvPr>
        <xdr:cNvSpPr/>
      </xdr:nvSpPr>
      <xdr:spPr>
        <a:xfrm>
          <a:off x="4556760" y="38100"/>
          <a:ext cx="617220" cy="312420"/>
        </a:xfrm>
        <a:prstGeom prst="ellipse">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solidFill>
                <a:srgbClr val="9B4631"/>
              </a:solidFill>
              <a:latin typeface="Blackadder ITC" panose="04020505051007020D02" pitchFamily="82" charset="0"/>
            </a:rPr>
            <a:t>VP</a:t>
          </a:r>
        </a:p>
      </xdr:txBody>
    </xdr:sp>
    <xdr:clientData/>
  </xdr:twoCellAnchor>
  <xdr:twoCellAnchor>
    <xdr:from>
      <xdr:col>1</xdr:col>
      <xdr:colOff>360165</xdr:colOff>
      <xdr:row>5</xdr:row>
      <xdr:rowOff>34531</xdr:rowOff>
    </xdr:from>
    <xdr:to>
      <xdr:col>2</xdr:col>
      <xdr:colOff>40494</xdr:colOff>
      <xdr:row>6</xdr:row>
      <xdr:rowOff>139265</xdr:rowOff>
    </xdr:to>
    <xdr:grpSp>
      <xdr:nvGrpSpPr>
        <xdr:cNvPr id="53" name="Group 52">
          <a:extLst>
            <a:ext uri="{FF2B5EF4-FFF2-40B4-BE49-F238E27FC236}">
              <a16:creationId xmlns:a16="http://schemas.microsoft.com/office/drawing/2014/main" id="{3D4ACA1A-B963-8E8B-DB60-C88FE1CCFFFE}"/>
            </a:ext>
          </a:extLst>
        </xdr:cNvPr>
        <xdr:cNvGrpSpPr/>
      </xdr:nvGrpSpPr>
      <xdr:grpSpPr>
        <a:xfrm>
          <a:off x="591659" y="1182354"/>
          <a:ext cx="288000" cy="288000"/>
          <a:chOff x="2461260" y="388620"/>
          <a:chExt cx="425670" cy="350520"/>
        </a:xfrm>
      </xdr:grpSpPr>
      <xdr:sp macro="" textlink="">
        <xdr:nvSpPr>
          <xdr:cNvPr id="49" name="Oval 48">
            <a:extLst>
              <a:ext uri="{FF2B5EF4-FFF2-40B4-BE49-F238E27FC236}">
                <a16:creationId xmlns:a16="http://schemas.microsoft.com/office/drawing/2014/main" id="{2FACE3FD-52D0-B337-892B-B54B509B9D04}"/>
              </a:ext>
            </a:extLst>
          </xdr:cNvPr>
          <xdr:cNvSpPr/>
        </xdr:nvSpPr>
        <xdr:spPr>
          <a:xfrm>
            <a:off x="2461260" y="410610"/>
            <a:ext cx="425670" cy="304817"/>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52" name="Graphic 51" descr="Daily calendar with solid fill">
            <a:extLst>
              <a:ext uri="{FF2B5EF4-FFF2-40B4-BE49-F238E27FC236}">
                <a16:creationId xmlns:a16="http://schemas.microsoft.com/office/drawing/2014/main" id="{A8B7F8EE-B646-6CE8-1604-C72C4CE20E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6980" y="388620"/>
            <a:ext cx="350520" cy="350520"/>
          </a:xfrm>
          <a:prstGeom prst="rect">
            <a:avLst/>
          </a:prstGeom>
        </xdr:spPr>
      </xdr:pic>
    </xdr:grpSp>
    <xdr:clientData/>
  </xdr:twoCellAnchor>
  <xdr:twoCellAnchor>
    <xdr:from>
      <xdr:col>10</xdr:col>
      <xdr:colOff>299688</xdr:colOff>
      <xdr:row>5</xdr:row>
      <xdr:rowOff>24886</xdr:rowOff>
    </xdr:from>
    <xdr:to>
      <xdr:col>10</xdr:col>
      <xdr:colOff>587688</xdr:colOff>
      <xdr:row>6</xdr:row>
      <xdr:rowOff>129620</xdr:rowOff>
    </xdr:to>
    <xdr:grpSp>
      <xdr:nvGrpSpPr>
        <xdr:cNvPr id="80" name="Group 79">
          <a:extLst>
            <a:ext uri="{FF2B5EF4-FFF2-40B4-BE49-F238E27FC236}">
              <a16:creationId xmlns:a16="http://schemas.microsoft.com/office/drawing/2014/main" id="{AA311A8F-B261-EED8-DA5B-13CF368898A4}"/>
            </a:ext>
          </a:extLst>
        </xdr:cNvPr>
        <xdr:cNvGrpSpPr/>
      </xdr:nvGrpSpPr>
      <xdr:grpSpPr>
        <a:xfrm>
          <a:off x="6000220" y="1172709"/>
          <a:ext cx="288000" cy="288000"/>
          <a:chOff x="5966460" y="1150620"/>
          <a:chExt cx="425669" cy="358140"/>
        </a:xfrm>
      </xdr:grpSpPr>
      <xdr:sp macro="" textlink="">
        <xdr:nvSpPr>
          <xdr:cNvPr id="60" name="Oval 59">
            <a:extLst>
              <a:ext uri="{FF2B5EF4-FFF2-40B4-BE49-F238E27FC236}">
                <a16:creationId xmlns:a16="http://schemas.microsoft.com/office/drawing/2014/main" id="{39B90585-E634-425E-A75E-9A0A9340CD22}"/>
              </a:ext>
            </a:extLst>
          </xdr:cNvPr>
          <xdr:cNvSpPr/>
        </xdr:nvSpPr>
        <xdr:spPr>
          <a:xfrm>
            <a:off x="5966460" y="117404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63" name="Graphic 62" descr="Crying face outline with solid fill">
            <a:extLst>
              <a:ext uri="{FF2B5EF4-FFF2-40B4-BE49-F238E27FC236}">
                <a16:creationId xmlns:a16="http://schemas.microsoft.com/office/drawing/2014/main" id="{0F8A1072-AAC4-9399-1B17-FDDAA51189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04560" y="1150620"/>
            <a:ext cx="358140" cy="358140"/>
          </a:xfrm>
          <a:prstGeom prst="rect">
            <a:avLst/>
          </a:prstGeom>
        </xdr:spPr>
      </xdr:pic>
    </xdr:grpSp>
    <xdr:clientData/>
  </xdr:twoCellAnchor>
  <xdr:twoCellAnchor>
    <xdr:from>
      <xdr:col>10</xdr:col>
      <xdr:colOff>307790</xdr:colOff>
      <xdr:row>1</xdr:row>
      <xdr:rowOff>40125</xdr:rowOff>
    </xdr:from>
    <xdr:to>
      <xdr:col>10</xdr:col>
      <xdr:colOff>595790</xdr:colOff>
      <xdr:row>2</xdr:row>
      <xdr:rowOff>135214</xdr:rowOff>
    </xdr:to>
    <xdr:grpSp>
      <xdr:nvGrpSpPr>
        <xdr:cNvPr id="83" name="Group 82">
          <a:extLst>
            <a:ext uri="{FF2B5EF4-FFF2-40B4-BE49-F238E27FC236}">
              <a16:creationId xmlns:a16="http://schemas.microsoft.com/office/drawing/2014/main" id="{76FBAF0A-69DD-169F-3616-DD4A6DFC9B2D}"/>
            </a:ext>
          </a:extLst>
        </xdr:cNvPr>
        <xdr:cNvGrpSpPr/>
      </xdr:nvGrpSpPr>
      <xdr:grpSpPr>
        <a:xfrm>
          <a:off x="6008322" y="425948"/>
          <a:ext cx="288000" cy="288000"/>
          <a:chOff x="5935980" y="411480"/>
          <a:chExt cx="425669" cy="358140"/>
        </a:xfrm>
      </xdr:grpSpPr>
      <xdr:sp macro="" textlink="">
        <xdr:nvSpPr>
          <xdr:cNvPr id="59" name="Oval 58">
            <a:extLst>
              <a:ext uri="{FF2B5EF4-FFF2-40B4-BE49-F238E27FC236}">
                <a16:creationId xmlns:a16="http://schemas.microsoft.com/office/drawing/2014/main" id="{21ED6C98-D363-4379-BB9B-D484F707A676}"/>
              </a:ext>
            </a:extLst>
          </xdr:cNvPr>
          <xdr:cNvSpPr/>
        </xdr:nvSpPr>
        <xdr:spPr>
          <a:xfrm>
            <a:off x="5935980" y="412048"/>
            <a:ext cx="425669" cy="30946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69" name="Graphic 68" descr="Angel face with solid fill with solid fill">
            <a:extLst>
              <a:ext uri="{FF2B5EF4-FFF2-40B4-BE49-F238E27FC236}">
                <a16:creationId xmlns:a16="http://schemas.microsoft.com/office/drawing/2014/main" id="{FB09242B-AA20-9353-AD06-E23D5917459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974080" y="411480"/>
            <a:ext cx="358140" cy="358140"/>
          </a:xfrm>
          <a:prstGeom prst="rect">
            <a:avLst/>
          </a:prstGeom>
        </xdr:spPr>
      </xdr:pic>
    </xdr:grpSp>
    <xdr:clientData/>
  </xdr:twoCellAnchor>
  <xdr:twoCellAnchor>
    <xdr:from>
      <xdr:col>13</xdr:col>
      <xdr:colOff>294093</xdr:colOff>
      <xdr:row>1</xdr:row>
      <xdr:rowOff>28937</xdr:rowOff>
    </xdr:from>
    <xdr:to>
      <xdr:col>13</xdr:col>
      <xdr:colOff>582093</xdr:colOff>
      <xdr:row>2</xdr:row>
      <xdr:rowOff>124026</xdr:rowOff>
    </xdr:to>
    <xdr:grpSp>
      <xdr:nvGrpSpPr>
        <xdr:cNvPr id="78" name="Group 77">
          <a:extLst>
            <a:ext uri="{FF2B5EF4-FFF2-40B4-BE49-F238E27FC236}">
              <a16:creationId xmlns:a16="http://schemas.microsoft.com/office/drawing/2014/main" id="{4DF26BBD-0A11-0280-0419-8C49BC7444E9}"/>
            </a:ext>
          </a:extLst>
        </xdr:cNvPr>
        <xdr:cNvGrpSpPr/>
      </xdr:nvGrpSpPr>
      <xdr:grpSpPr>
        <a:xfrm>
          <a:off x="7817637" y="414760"/>
          <a:ext cx="288000" cy="288000"/>
          <a:chOff x="7947660" y="403860"/>
          <a:chExt cx="425669" cy="335280"/>
        </a:xfrm>
      </xdr:grpSpPr>
      <xdr:sp macro="" textlink="">
        <xdr:nvSpPr>
          <xdr:cNvPr id="57" name="Oval 56">
            <a:extLst>
              <a:ext uri="{FF2B5EF4-FFF2-40B4-BE49-F238E27FC236}">
                <a16:creationId xmlns:a16="http://schemas.microsoft.com/office/drawing/2014/main" id="{C3B7C494-C430-480B-A6D2-A640E9DD7F38}"/>
              </a:ext>
            </a:extLst>
          </xdr:cNvPr>
          <xdr:cNvSpPr/>
        </xdr:nvSpPr>
        <xdr:spPr>
          <a:xfrm>
            <a:off x="7947660" y="412048"/>
            <a:ext cx="425669" cy="30946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1" name="Graphic 70" descr="Trophy with solid fill">
            <a:extLst>
              <a:ext uri="{FF2B5EF4-FFF2-40B4-BE49-F238E27FC236}">
                <a16:creationId xmlns:a16="http://schemas.microsoft.com/office/drawing/2014/main" id="{3CBC31D0-2D68-2DA0-1817-C2FF68D5B9F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01000" y="403860"/>
            <a:ext cx="335280" cy="335280"/>
          </a:xfrm>
          <a:prstGeom prst="rect">
            <a:avLst/>
          </a:prstGeom>
        </xdr:spPr>
      </xdr:pic>
    </xdr:grpSp>
    <xdr:clientData/>
  </xdr:twoCellAnchor>
  <xdr:twoCellAnchor>
    <xdr:from>
      <xdr:col>13</xdr:col>
      <xdr:colOff>299688</xdr:colOff>
      <xdr:row>5</xdr:row>
      <xdr:rowOff>34531</xdr:rowOff>
    </xdr:from>
    <xdr:to>
      <xdr:col>13</xdr:col>
      <xdr:colOff>587688</xdr:colOff>
      <xdr:row>6</xdr:row>
      <xdr:rowOff>139265</xdr:rowOff>
    </xdr:to>
    <xdr:grpSp>
      <xdr:nvGrpSpPr>
        <xdr:cNvPr id="79" name="Group 78">
          <a:extLst>
            <a:ext uri="{FF2B5EF4-FFF2-40B4-BE49-F238E27FC236}">
              <a16:creationId xmlns:a16="http://schemas.microsoft.com/office/drawing/2014/main" id="{C3BE6F57-05F3-58DE-3F33-6D4EF78492F0}"/>
            </a:ext>
          </a:extLst>
        </xdr:cNvPr>
        <xdr:cNvGrpSpPr/>
      </xdr:nvGrpSpPr>
      <xdr:grpSpPr>
        <a:xfrm>
          <a:off x="7823232" y="1182354"/>
          <a:ext cx="288000" cy="288000"/>
          <a:chOff x="7947660" y="1143000"/>
          <a:chExt cx="425669" cy="342900"/>
        </a:xfrm>
      </xdr:grpSpPr>
      <xdr:sp macro="" textlink="">
        <xdr:nvSpPr>
          <xdr:cNvPr id="58" name="Oval 57">
            <a:extLst>
              <a:ext uri="{FF2B5EF4-FFF2-40B4-BE49-F238E27FC236}">
                <a16:creationId xmlns:a16="http://schemas.microsoft.com/office/drawing/2014/main" id="{22EECFF5-76B0-4EAE-B047-70C996F08C19}"/>
              </a:ext>
            </a:extLst>
          </xdr:cNvPr>
          <xdr:cNvSpPr/>
        </xdr:nvSpPr>
        <xdr:spPr>
          <a:xfrm>
            <a:off x="794766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3" name="Graphic 72" descr="Sad face outline with solid fill">
            <a:extLst>
              <a:ext uri="{FF2B5EF4-FFF2-40B4-BE49-F238E27FC236}">
                <a16:creationId xmlns:a16="http://schemas.microsoft.com/office/drawing/2014/main" id="{0D698239-3695-6F0C-3B6F-E847CB9B1F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985760" y="1143000"/>
            <a:ext cx="342900" cy="342900"/>
          </a:xfrm>
          <a:prstGeom prst="rect">
            <a:avLst/>
          </a:prstGeom>
        </xdr:spPr>
      </xdr:pic>
    </xdr:grpSp>
    <xdr:clientData/>
  </xdr:twoCellAnchor>
  <xdr:twoCellAnchor>
    <xdr:from>
      <xdr:col>4</xdr:col>
      <xdr:colOff>403860</xdr:colOff>
      <xdr:row>5</xdr:row>
      <xdr:rowOff>15240</xdr:rowOff>
    </xdr:from>
    <xdr:to>
      <xdr:col>5</xdr:col>
      <xdr:colOff>84189</xdr:colOff>
      <xdr:row>6</xdr:row>
      <xdr:rowOff>119974</xdr:rowOff>
    </xdr:to>
    <xdr:grpSp>
      <xdr:nvGrpSpPr>
        <xdr:cNvPr id="82" name="Group 81">
          <a:extLst>
            <a:ext uri="{FF2B5EF4-FFF2-40B4-BE49-F238E27FC236}">
              <a16:creationId xmlns:a16="http://schemas.microsoft.com/office/drawing/2014/main" id="{4F8AB993-2DA0-F6BF-1D39-D8A610356B29}"/>
            </a:ext>
          </a:extLst>
        </xdr:cNvPr>
        <xdr:cNvGrpSpPr/>
      </xdr:nvGrpSpPr>
      <xdr:grpSpPr>
        <a:xfrm>
          <a:off x="2458366" y="1163063"/>
          <a:ext cx="288000" cy="288000"/>
          <a:chOff x="2461260" y="1150620"/>
          <a:chExt cx="425669" cy="335280"/>
        </a:xfrm>
      </xdr:grpSpPr>
      <xdr:sp macro="" textlink="">
        <xdr:nvSpPr>
          <xdr:cNvPr id="55" name="Oval 54">
            <a:extLst>
              <a:ext uri="{FF2B5EF4-FFF2-40B4-BE49-F238E27FC236}">
                <a16:creationId xmlns:a16="http://schemas.microsoft.com/office/drawing/2014/main" id="{B8A6D603-4BAF-22F8-1415-3B5568532F3B}"/>
              </a:ext>
            </a:extLst>
          </xdr:cNvPr>
          <xdr:cNvSpPr/>
        </xdr:nvSpPr>
        <xdr:spPr>
          <a:xfrm>
            <a:off x="246126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5" name="Graphic 74" descr="Classroom with solid fill">
            <a:extLst>
              <a:ext uri="{FF2B5EF4-FFF2-40B4-BE49-F238E27FC236}">
                <a16:creationId xmlns:a16="http://schemas.microsoft.com/office/drawing/2014/main" id="{BF24616F-2AF7-63CD-8FB0-ED2AB132A6B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14600" y="1150620"/>
            <a:ext cx="335280" cy="335280"/>
          </a:xfrm>
          <a:prstGeom prst="rect">
            <a:avLst/>
          </a:prstGeom>
        </xdr:spPr>
      </xdr:pic>
    </xdr:grpSp>
    <xdr:clientData/>
  </xdr:twoCellAnchor>
  <xdr:twoCellAnchor>
    <xdr:from>
      <xdr:col>7</xdr:col>
      <xdr:colOff>373380</xdr:colOff>
      <xdr:row>5</xdr:row>
      <xdr:rowOff>59416</xdr:rowOff>
    </xdr:from>
    <xdr:to>
      <xdr:col>8</xdr:col>
      <xdr:colOff>53709</xdr:colOff>
      <xdr:row>6</xdr:row>
      <xdr:rowOff>164150</xdr:rowOff>
    </xdr:to>
    <xdr:grpSp>
      <xdr:nvGrpSpPr>
        <xdr:cNvPr id="81" name="Group 80">
          <a:extLst>
            <a:ext uri="{FF2B5EF4-FFF2-40B4-BE49-F238E27FC236}">
              <a16:creationId xmlns:a16="http://schemas.microsoft.com/office/drawing/2014/main" id="{30130DEC-691D-A2BE-4B90-7A5EDF5C14F4}"/>
            </a:ext>
          </a:extLst>
        </xdr:cNvPr>
        <xdr:cNvGrpSpPr/>
      </xdr:nvGrpSpPr>
      <xdr:grpSpPr>
        <a:xfrm>
          <a:off x="4250899" y="1207239"/>
          <a:ext cx="288000" cy="288000"/>
          <a:chOff x="4259580" y="1165860"/>
          <a:chExt cx="425669" cy="335280"/>
        </a:xfrm>
      </xdr:grpSpPr>
      <xdr:sp macro="" textlink="">
        <xdr:nvSpPr>
          <xdr:cNvPr id="61" name="Oval 60">
            <a:extLst>
              <a:ext uri="{FF2B5EF4-FFF2-40B4-BE49-F238E27FC236}">
                <a16:creationId xmlns:a16="http://schemas.microsoft.com/office/drawing/2014/main" id="{DF1AD361-530C-4983-A48E-22D4DD736FD8}"/>
              </a:ext>
            </a:extLst>
          </xdr:cNvPr>
          <xdr:cNvSpPr/>
        </xdr:nvSpPr>
        <xdr:spPr>
          <a:xfrm>
            <a:off x="425958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7" name="Graphic 76" descr="Shooting star with solid fill">
            <a:extLst>
              <a:ext uri="{FF2B5EF4-FFF2-40B4-BE49-F238E27FC236}">
                <a16:creationId xmlns:a16="http://schemas.microsoft.com/office/drawing/2014/main" id="{E60DA54F-A0FA-3ED3-467F-610335FA4E0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297680" y="1165860"/>
            <a:ext cx="335280" cy="335280"/>
          </a:xfrm>
          <a:prstGeom prst="rect">
            <a:avLst/>
          </a:prstGeom>
        </xdr:spPr>
      </xdr:pic>
    </xdr:grpSp>
    <xdr:clientData/>
  </xdr:twoCellAnchor>
  <xdr:twoCellAnchor>
    <xdr:from>
      <xdr:col>1</xdr:col>
      <xdr:colOff>0</xdr:colOff>
      <xdr:row>8</xdr:row>
      <xdr:rowOff>0</xdr:rowOff>
    </xdr:from>
    <xdr:to>
      <xdr:col>11</xdr:col>
      <xdr:colOff>0</xdr:colOff>
      <xdr:row>24</xdr:row>
      <xdr:rowOff>0</xdr:rowOff>
    </xdr:to>
    <xdr:graphicFrame macro="">
      <xdr:nvGraphicFramePr>
        <xdr:cNvPr id="85" name="Chart 3">
          <a:extLst>
            <a:ext uri="{FF2B5EF4-FFF2-40B4-BE49-F238E27FC236}">
              <a16:creationId xmlns:a16="http://schemas.microsoft.com/office/drawing/2014/main" id="{0C48BB4E-9CEC-98ED-206B-A17CB332D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0</xdr:colOff>
      <xdr:row>8</xdr:row>
      <xdr:rowOff>0</xdr:rowOff>
    </xdr:from>
    <xdr:to>
      <xdr:col>15</xdr:col>
      <xdr:colOff>0</xdr:colOff>
      <xdr:row>24</xdr:row>
      <xdr:rowOff>0</xdr:rowOff>
    </xdr:to>
    <xdr:graphicFrame macro="">
      <xdr:nvGraphicFramePr>
        <xdr:cNvPr id="86" name="Chart 4">
          <a:extLst>
            <a:ext uri="{FF2B5EF4-FFF2-40B4-BE49-F238E27FC236}">
              <a16:creationId xmlns:a16="http://schemas.microsoft.com/office/drawing/2014/main" id="{CA7CD341-BACA-30B6-BE64-3AD91399C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0</xdr:colOff>
      <xdr:row>8</xdr:row>
      <xdr:rowOff>0</xdr:rowOff>
    </xdr:from>
    <xdr:to>
      <xdr:col>19</xdr:col>
      <xdr:colOff>0</xdr:colOff>
      <xdr:row>24</xdr:row>
      <xdr:rowOff>0</xdr:rowOff>
    </xdr:to>
    <xdr:graphicFrame macro="">
      <xdr:nvGraphicFramePr>
        <xdr:cNvPr id="88" name="Chart 87">
          <a:extLst>
            <a:ext uri="{FF2B5EF4-FFF2-40B4-BE49-F238E27FC236}">
              <a16:creationId xmlns:a16="http://schemas.microsoft.com/office/drawing/2014/main" id="{5DAFCDF7-C1C7-4850-B785-7B95C3CEA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19</xdr:col>
      <xdr:colOff>1</xdr:colOff>
      <xdr:row>11</xdr:row>
      <xdr:rowOff>9646</xdr:rowOff>
    </xdr:from>
    <xdr:to>
      <xdr:col>22</xdr:col>
      <xdr:colOff>0</xdr:colOff>
      <xdr:row>16</xdr:row>
      <xdr:rowOff>29404</xdr:rowOff>
    </xdr:to>
    <mc:AlternateContent xmlns:mc="http://schemas.openxmlformats.org/markup-compatibility/2006" xmlns:a14="http://schemas.microsoft.com/office/drawing/2010/main">
      <mc:Choice Requires="a14">
        <xdr:graphicFrame macro="">
          <xdr:nvGraphicFramePr>
            <xdr:cNvPr id="89" name="Direction">
              <a:extLst>
                <a:ext uri="{FF2B5EF4-FFF2-40B4-BE49-F238E27FC236}">
                  <a16:creationId xmlns:a16="http://schemas.microsoft.com/office/drawing/2014/main" id="{4A0BF347-44E1-4E4C-9364-F66073173FE9}"/>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mlns="">
        <xdr:sp macro="" textlink="">
          <xdr:nvSpPr>
            <xdr:cNvPr id="0" name=""/>
            <xdr:cNvSpPr>
              <a:spLocks noTextEdit="1"/>
            </xdr:cNvSpPr>
          </xdr:nvSpPr>
          <xdr:spPr>
            <a:xfrm>
              <a:off x="11169571" y="2266709"/>
              <a:ext cx="1823011" cy="93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xdr:colOff>
      <xdr:row>16</xdr:row>
      <xdr:rowOff>28937</xdr:rowOff>
    </xdr:from>
    <xdr:to>
      <xdr:col>21</xdr:col>
      <xdr:colOff>598027</xdr:colOff>
      <xdr:row>24</xdr:row>
      <xdr:rowOff>-1</xdr:rowOff>
    </xdr:to>
    <mc:AlternateContent xmlns:mc="http://schemas.openxmlformats.org/markup-compatibility/2006" xmlns:a14="http://schemas.microsoft.com/office/drawing/2010/main">
      <mc:Choice Requires="a14">
        <xdr:graphicFrame macro="">
          <xdr:nvGraphicFramePr>
            <xdr:cNvPr id="90" name="Symbol">
              <a:extLst>
                <a:ext uri="{FF2B5EF4-FFF2-40B4-BE49-F238E27FC236}">
                  <a16:creationId xmlns:a16="http://schemas.microsoft.com/office/drawing/2014/main" id="{8EFA778C-D397-43BB-925B-E65A636CF6A3}"/>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11169572" y="3202329"/>
              <a:ext cx="1813366" cy="144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xdr:row>
      <xdr:rowOff>9646</xdr:rowOff>
    </xdr:from>
    <xdr:to>
      <xdr:col>21</xdr:col>
      <xdr:colOff>598026</xdr:colOff>
      <xdr:row>6</xdr:row>
      <xdr:rowOff>57873</xdr:rowOff>
    </xdr:to>
    <mc:AlternateContent xmlns:mc="http://schemas.openxmlformats.org/markup-compatibility/2006" xmlns:a14="http://schemas.microsoft.com/office/drawing/2010/main">
      <mc:Choice Requires="a14">
        <xdr:graphicFrame macro="">
          <xdr:nvGraphicFramePr>
            <xdr:cNvPr id="91" name="Year">
              <a:extLst>
                <a:ext uri="{FF2B5EF4-FFF2-40B4-BE49-F238E27FC236}">
                  <a16:creationId xmlns:a16="http://schemas.microsoft.com/office/drawing/2014/main" id="{1D361978-1FC3-4F89-B9B1-AF64C153AF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69570" y="588380"/>
              <a:ext cx="1813367" cy="80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9645</xdr:colOff>
      <xdr:row>6</xdr:row>
      <xdr:rowOff>57872</xdr:rowOff>
    </xdr:from>
    <xdr:to>
      <xdr:col>22</xdr:col>
      <xdr:colOff>0</xdr:colOff>
      <xdr:row>11</xdr:row>
      <xdr:rowOff>19291</xdr:rowOff>
    </xdr:to>
    <mc:AlternateContent xmlns:mc="http://schemas.openxmlformats.org/markup-compatibility/2006" xmlns:a14="http://schemas.microsoft.com/office/drawing/2010/main">
      <mc:Choice Requires="a14">
        <xdr:graphicFrame macro="">
          <xdr:nvGraphicFramePr>
            <xdr:cNvPr id="92" name="Month">
              <a:extLst>
                <a:ext uri="{FF2B5EF4-FFF2-40B4-BE49-F238E27FC236}">
                  <a16:creationId xmlns:a16="http://schemas.microsoft.com/office/drawing/2014/main" id="{AD6C4F2C-9850-4EFF-A6D0-A9987446EC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79215" y="1388961"/>
              <a:ext cx="1813367" cy="88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802702083332" createdVersion="8" refreshedVersion="8" minRefreshableVersion="3" recordCount="100" xr:uid="{E7A7B608-3640-4CE3-8D36-EF2F0C177466}">
  <cacheSource type="worksheet">
    <worksheetSource name="tbl_trade"/>
  </cacheSource>
  <cacheFields count="24">
    <cacheField name="Date" numFmtId="168">
      <sharedItems containsSemiMixedTypes="0" containsNonDate="0" containsDate="1" containsString="0" minDate="2024-01-02T00:00:00" maxDate="2024-08-27T00:00:00" count="100">
        <d v="2024-01-02T00:00:00"/>
        <d v="2024-01-03T00:00:00"/>
        <d v="2024-01-05T00:00:00"/>
        <d v="2024-01-08T00:00:00"/>
        <d v="2024-01-10T00:00:00"/>
        <d v="2024-01-12T00:00:00"/>
        <d v="2024-01-15T00:00:00"/>
        <d v="2024-01-16T00:00:00"/>
        <d v="2024-01-18T00:00:00"/>
        <d v="2024-01-19T00:00:00"/>
        <d v="2024-01-22T00:00:00"/>
        <d v="2024-01-24T00:00:00"/>
        <d v="2024-01-29T00:00:00"/>
        <d v="2024-02-01T00:00:00"/>
        <d v="2024-02-02T00:00:00"/>
        <d v="2024-02-05T00:00:00"/>
        <d v="2024-02-08T00:00:00"/>
        <d v="2024-02-09T00:00:00"/>
        <d v="2024-02-12T00:00:00"/>
        <d v="2024-02-15T00:00:00"/>
        <d v="2024-02-16T00:00:00"/>
        <d v="2024-02-19T00:00:00"/>
        <d v="2024-02-21T00:00:00"/>
        <d v="2024-02-22T00:00:00"/>
        <d v="2024-02-23T00:00:00"/>
        <d v="2024-02-26T00:00:00"/>
        <d v="2024-02-27T00:00:00"/>
        <d v="2024-02-28T00:00:00"/>
        <d v="2024-03-04T00:00:00"/>
        <d v="2024-03-05T00:00:00"/>
        <d v="2024-03-06T00:00:00"/>
        <d v="2024-03-07T00:00:00"/>
        <d v="2024-03-11T00:00:00"/>
        <d v="2024-03-12T00:00:00"/>
        <d v="2024-03-14T00:00:00"/>
        <d v="2024-03-15T00:00:00"/>
        <d v="2024-03-18T00:00:00"/>
        <d v="2024-03-21T00:00:00"/>
        <d v="2024-03-25T00:00:00"/>
        <d v="2024-03-28T00:00:00"/>
        <d v="2024-03-29T00:00:00"/>
        <d v="2024-04-01T00:00:00"/>
        <d v="2024-04-04T00:00:00"/>
        <d v="2024-04-05T00:00:00"/>
        <d v="2024-04-08T00:00:00"/>
        <d v="2024-04-10T00:00:00"/>
        <d v="2024-04-12T00:00:00"/>
        <d v="2024-04-15T00:00:00"/>
        <d v="2024-04-17T00:00:00"/>
        <d v="2024-04-22T00:00:00"/>
        <d v="2024-04-25T00:00:00"/>
        <d v="2024-04-29T00:00:00"/>
        <d v="2024-05-01T00:00:00"/>
        <d v="2024-05-03T00:00:00"/>
        <d v="2024-05-06T00:00:00"/>
        <d v="2024-05-09T00:00:00"/>
        <d v="2024-05-13T00:00:00"/>
        <d v="2024-05-16T00:00:00"/>
        <d v="2024-05-20T00:00:00"/>
        <d v="2024-05-22T00:00:00"/>
        <d v="2024-05-27T00:00:00"/>
        <d v="2024-05-30T00:00:00"/>
        <d v="2024-06-03T00:00:00"/>
        <d v="2024-06-05T00:00:00"/>
        <d v="2024-06-10T00:00:00"/>
        <d v="2024-06-11T00:00:00"/>
        <d v="2024-06-12T00:00:00"/>
        <d v="2024-06-13T00:00:00"/>
        <d v="2024-06-14T00:00:00"/>
        <d v="2024-06-17T00:00:00"/>
        <d v="2024-06-20T00:00:00"/>
        <d v="2024-06-24T00:00:00"/>
        <d v="2024-06-25T00:00:00"/>
        <d v="2024-06-28T00:00:00"/>
        <d v="2024-07-01T00:00:00"/>
        <d v="2024-07-03T00:00:00"/>
        <d v="2024-07-05T00:00:00"/>
        <d v="2024-07-08T00:00:00"/>
        <d v="2024-07-09T00:00:00"/>
        <d v="2024-07-12T00:00:00"/>
        <d v="2024-07-15T00:00:00"/>
        <d v="2024-07-17T00:00:00"/>
        <d v="2024-07-19T00:00:00"/>
        <d v="2024-07-22T00:00:00"/>
        <d v="2024-07-23T00:00:00"/>
        <d v="2024-07-24T00:00:00"/>
        <d v="2024-07-25T00:00:00"/>
        <d v="2024-07-29T00:00:00"/>
        <d v="2024-07-31T00:00:00"/>
        <d v="2024-08-02T00:00:00"/>
        <d v="2024-08-05T00:00:00"/>
        <d v="2024-08-07T00:00:00"/>
        <d v="2024-08-09T00:00:00"/>
        <d v="2024-08-12T00:00:00"/>
        <d v="2024-08-14T00:00:00"/>
        <d v="2024-08-15T00:00:00"/>
        <d v="2024-08-16T00:00:00"/>
        <d v="2024-08-19T00:00:00"/>
        <d v="2024-08-22T00:00:00"/>
        <d v="2024-08-26T00:00:00"/>
      </sharedItems>
      <fieldGroup par="23"/>
    </cacheField>
    <cacheField name="Symbol" numFmtId="0">
      <sharedItems count="20">
        <s v="MSFT"/>
        <s v="NVDA"/>
        <s v="AAPL"/>
        <s v="DOGE/USD"/>
        <s v="XRP/USD"/>
        <s v="USD/JPY"/>
        <s v="SPY"/>
        <s v="BTC/USD"/>
        <s v="AMZN"/>
        <s v="GBP/USD"/>
        <s v="USD/CAD"/>
        <s v="TSLA"/>
        <s v="QQQ"/>
        <s v="EUR/USD"/>
        <s v="META"/>
        <s v="GOOGL"/>
        <s v="SOL/USD"/>
        <s v="AUD/USD"/>
        <s v="BNB/USD"/>
        <s v="ETH/USD"/>
      </sharedItems>
    </cacheField>
    <cacheField name="Market" numFmtId="0">
      <sharedItems/>
    </cacheField>
    <cacheField name="Direction" numFmtId="0">
      <sharedItems count="2">
        <s v="LONG"/>
        <s v="SHORT"/>
      </sharedItems>
    </cacheField>
    <cacheField name="Entry Price" numFmtId="0">
      <sharedItems containsSemiMixedTypes="0" containsString="0" containsNumber="1" minValue="8.1900000000000001E-2" maxValue="66719.529200000004"/>
    </cacheField>
    <cacheField name="Exit Price" numFmtId="0">
      <sharedItems containsSemiMixedTypes="0" containsString="0" containsNumber="1" minValue="9.3200000000000005E-2" maxValue="67463.402900000001"/>
    </cacheField>
    <cacheField name="Position Size" numFmtId="0">
      <sharedItems containsSemiMixedTypes="0" containsString="0" containsNumber="1" minValue="0.3" maxValue="40000"/>
    </cacheField>
    <cacheField name="Stop Loss" numFmtId="0">
      <sharedItems containsSemiMixedTypes="0" containsString="0" containsNumber="1" minValue="7.7799999999999994E-2" maxValue="67564.143899999995"/>
    </cacheField>
    <cacheField name="Take Profit" numFmtId="0">
      <sharedItems containsSemiMixedTypes="0" containsString="0" containsNumber="1" minValue="9.3600000000000003E-2" maxValue="68227.424799999993"/>
    </cacheField>
    <cacheField name="Fees" numFmtId="0">
      <sharedItems containsSemiMixedTypes="0" containsString="0" containsNumber="1" minValue="5.23" maxValue="34.979999999999997"/>
    </cacheField>
    <cacheField name="PnL" numFmtId="164">
      <sharedItems containsSemiMixedTypes="0" containsString="0" containsNumber="1" minValue="-1706.8999999995908" maxValue="5783.8699999996415"/>
    </cacheField>
    <cacheField name="Risk (R)" numFmtId="0">
      <sharedItems containsSemiMixedTypes="0" containsString="0" containsNumber="1" minValue="10.670000000000183" maxValue="2884.1300000004785"/>
    </cacheField>
    <cacheField name="RR Ratio" numFmtId="0">
      <sharedItems containsSemiMixedTypes="0" containsString="0" containsNumber="1" minValue="-1" maxValue="2.1829436498537147"/>
    </cacheField>
    <cacheField name="Strategy" numFmtId="0">
      <sharedItems count="10">
        <s v="Support/Resistance"/>
        <s v="Momentum"/>
        <s v="Scalp"/>
        <s v="Breakout"/>
        <s v="Trend Follow"/>
        <s v="Earnings Play"/>
        <s v="Swing"/>
        <s v="Range Bound"/>
        <s v="Mean Reversion"/>
        <s v="VWAP Fade"/>
      </sharedItems>
    </cacheField>
    <cacheField name="Notes" numFmtId="0">
      <sharedItems/>
    </cacheField>
    <cacheField name="Trade Status" numFmtId="0">
      <sharedItems count="2">
        <s v="Loss"/>
        <s v="Win"/>
      </sharedItems>
    </cacheField>
    <cacheField name="Win/Loss" numFmtId="0">
      <sharedItems containsSemiMixedTypes="0" containsString="0" containsNumber="1" containsInteger="1" minValue="0" maxValue="1"/>
    </cacheField>
    <cacheField name="Trading Day" numFmtId="0">
      <sharedItems/>
    </cacheField>
    <cacheField name="Year" numFmtId="0">
      <sharedItems containsSemiMixedTypes="0" containsString="0" containsNumber="1" containsInteger="1" minValue="2024" maxValue="2024" count="1">
        <n v="2024"/>
      </sharedItems>
    </cacheField>
    <cacheField name="Month" numFmtId="0">
      <sharedItems count="8">
        <s v="Jan"/>
        <s v="Feb"/>
        <s v="Mar"/>
        <s v="Apr"/>
        <s v="May"/>
        <s v="Jun"/>
        <s v="Jul"/>
        <s v="Aug"/>
      </sharedItems>
    </cacheField>
    <cacheField name="Month No" numFmtId="0">
      <sharedItems containsSemiMixedTypes="0" containsString="0" containsNumber="1" containsInteger="1" minValue="1" maxValue="8"/>
    </cacheField>
    <cacheField name="Quarter" numFmtId="0">
      <sharedItems/>
    </cacheField>
    <cacheField name="Days (Date)" numFmtId="0" databaseField="0">
      <fieldGroup base="0">
        <rangePr groupBy="days" startDate="2024-01-02T00:00:00" endDate="2024-08-27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8/2024"/>
        </groupItems>
      </fieldGroup>
    </cacheField>
    <cacheField name="Months (Date)" numFmtId="0" databaseField="0">
      <fieldGroup base="0">
        <rangePr groupBy="months" startDate="2024-01-02T00:00:00" endDate="2024-08-27T00:00:00"/>
        <groupItems count="14">
          <s v="&lt;02/01/2024"/>
          <s v="Jan"/>
          <s v="Feb"/>
          <s v="Mar"/>
          <s v="Apr"/>
          <s v="May"/>
          <s v="Jun"/>
          <s v="Jul"/>
          <s v="Aug"/>
          <s v="Sep"/>
          <s v="Oct"/>
          <s v="Nov"/>
          <s v="Dec"/>
          <s v="&gt;27/08/2024"/>
        </groupItems>
      </fieldGroup>
    </cacheField>
  </cacheFields>
  <extLst>
    <ext xmlns:x14="http://schemas.microsoft.com/office/spreadsheetml/2009/9/main" uri="{725AE2AE-9491-48be-B2B4-4EB974FC3084}">
      <x14:pivotCacheDefinition pivotCacheId="255637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US Equities"/>
    <x v="0"/>
    <n v="367.86"/>
    <n v="367.1"/>
    <n v="15"/>
    <n v="367.04"/>
    <n v="370.55"/>
    <n v="17.66"/>
    <n v="-29.059999999999864"/>
    <n v="29.959999999999898"/>
    <n v="-0.96995994659545937"/>
    <x v="0"/>
    <s v="Tight consolidation breakout"/>
    <x v="0"/>
    <n v="0"/>
    <s v="2024-01-02"/>
    <x v="0"/>
    <x v="0"/>
    <n v="1"/>
    <s v="Q1"/>
  </r>
  <r>
    <x v="1"/>
    <x v="1"/>
    <s v="US Equities"/>
    <x v="0"/>
    <n v="550.5"/>
    <n v="552.96"/>
    <n v="10"/>
    <n v="549.04"/>
    <n v="554.74"/>
    <n v="18.48"/>
    <n v="6.1200000000003634"/>
    <n v="33.080000000000368"/>
    <n v="0.18500604594922296"/>
    <x v="1"/>
    <s v="Fed speech volatility"/>
    <x v="1"/>
    <n v="1"/>
    <s v="2024-01-03"/>
    <x v="0"/>
    <x v="0"/>
    <n v="1"/>
    <s v="Q1"/>
  </r>
  <r>
    <x v="2"/>
    <x v="2"/>
    <s v="US Equities"/>
    <x v="0"/>
    <n v="163.89"/>
    <n v="164.61"/>
    <n v="20"/>
    <n v="163.26"/>
    <n v="164.96"/>
    <n v="15.77"/>
    <n v="-1.3699999999994539"/>
    <n v="28.369999999999909"/>
    <n v="-4.8290447655955526E-2"/>
    <x v="2"/>
    <s v="Overbought — faded the rally"/>
    <x v="0"/>
    <n v="0"/>
    <s v="2024-01-05"/>
    <x v="0"/>
    <x v="0"/>
    <n v="1"/>
    <s v="Q1"/>
  </r>
  <r>
    <x v="3"/>
    <x v="3"/>
    <s v="Crypto"/>
    <x v="1"/>
    <n v="0.1205"/>
    <n v="0.1105"/>
    <n v="10000"/>
    <n v="0.12759999999999999"/>
    <n v="0.1087"/>
    <n v="23.86"/>
    <n v="76.139999999999944"/>
    <n v="94.859999999999957"/>
    <n v="0.80265654648956331"/>
    <x v="3"/>
    <s v="ATH breakout — momentum play"/>
    <x v="1"/>
    <n v="1"/>
    <s v="2024-01-08"/>
    <x v="0"/>
    <x v="0"/>
    <n v="1"/>
    <s v="Q1"/>
  </r>
  <r>
    <x v="4"/>
    <x v="4"/>
    <s v="Crypto"/>
    <x v="0"/>
    <n v="0.61529999999999996"/>
    <n v="0.60880000000000001"/>
    <n v="5000"/>
    <n v="0.58560000000000001"/>
    <n v="0.7107"/>
    <n v="16.399999999999999"/>
    <n v="-48.89999999999975"/>
    <n v="164.89999999999975"/>
    <n v="-0.29654335961188494"/>
    <x v="4"/>
    <s v="Clean breakout above resistance"/>
    <x v="0"/>
    <n v="0"/>
    <s v="2024-01-10"/>
    <x v="0"/>
    <x v="0"/>
    <n v="1"/>
    <s v="Q1"/>
  </r>
  <r>
    <x v="5"/>
    <x v="5"/>
    <s v="Forex"/>
    <x v="0"/>
    <n v="142.51410000000001"/>
    <n v="142.8038"/>
    <n v="20000"/>
    <n v="142.37039999999999"/>
    <n v="142.91589999999999"/>
    <n v="10.130000000000001"/>
    <n v="5783.8699999996415"/>
    <n v="2884.1300000004785"/>
    <n v="2.0054123773889119"/>
    <x v="5"/>
    <s v="Pre-market gap up follow-through"/>
    <x v="1"/>
    <n v="1"/>
    <s v="2024-01-12"/>
    <x v="0"/>
    <x v="0"/>
    <n v="1"/>
    <s v="Q1"/>
  </r>
  <r>
    <x v="6"/>
    <x v="6"/>
    <s v="US Equities"/>
    <x v="0"/>
    <n v="458.9"/>
    <n v="458.56"/>
    <n v="20"/>
    <n v="458.42"/>
    <n v="459.83"/>
    <n v="28.05"/>
    <n v="-34.849999999999497"/>
    <n v="37.649999999999224"/>
    <n v="-0.92563081009296722"/>
    <x v="6"/>
    <s v="Support zone rejection"/>
    <x v="0"/>
    <n v="0"/>
    <s v="2024-01-15"/>
    <x v="0"/>
    <x v="0"/>
    <n v="1"/>
    <s v="Q1"/>
  </r>
  <r>
    <x v="7"/>
    <x v="6"/>
    <s v="US Equities"/>
    <x v="0"/>
    <n v="458.74"/>
    <n v="459.65"/>
    <n v="20"/>
    <n v="458.16"/>
    <n v="460.63"/>
    <n v="24.66"/>
    <n v="-6.4600000000006368"/>
    <n v="36.259999999999678"/>
    <n v="-0.17815774958634015"/>
    <x v="5"/>
    <s v="Support zone rejection"/>
    <x v="0"/>
    <n v="0"/>
    <s v="2024-01-16"/>
    <x v="0"/>
    <x v="0"/>
    <n v="1"/>
    <s v="Q1"/>
  </r>
  <r>
    <x v="8"/>
    <x v="7"/>
    <s v="Crypto"/>
    <x v="0"/>
    <n v="45398.825199999999"/>
    <n v="46910.9974"/>
    <n v="0.3"/>
    <n v="44788.6319"/>
    <n v="47027.536099999998"/>
    <n v="16.98"/>
    <n v="436.67166000000026"/>
    <n v="200.0379899999997"/>
    <n v="2.1829436498537147"/>
    <x v="0"/>
    <s v="Failed retest — stopped out"/>
    <x v="1"/>
    <n v="1"/>
    <s v="2024-01-18"/>
    <x v="0"/>
    <x v="0"/>
    <n v="1"/>
    <s v="Q1"/>
  </r>
  <r>
    <x v="9"/>
    <x v="8"/>
    <s v="US Equities"/>
    <x v="1"/>
    <n v="161.65"/>
    <n v="160.21"/>
    <n v="20"/>
    <n v="162.33000000000001"/>
    <n v="159.55000000000001"/>
    <n v="6.91"/>
    <n v="21.889999999999954"/>
    <n v="20.510000000000137"/>
    <n v="1.0672842515845835"/>
    <x v="4"/>
    <s v="Stop run then reversal"/>
    <x v="1"/>
    <n v="1"/>
    <s v="2024-01-19"/>
    <x v="0"/>
    <x v="0"/>
    <n v="1"/>
    <s v="Q1"/>
  </r>
  <r>
    <x v="10"/>
    <x v="3"/>
    <s v="Crypto"/>
    <x v="1"/>
    <n v="0.17680000000000001"/>
    <n v="0.1787"/>
    <n v="10000"/>
    <n v="0.1794"/>
    <n v="0.16919999999999999"/>
    <n v="21.11"/>
    <n v="-40.10999999999985"/>
    <n v="47.109999999999914"/>
    <n v="-0.85141158989598653"/>
    <x v="7"/>
    <s v="Divergence on MACD"/>
    <x v="0"/>
    <n v="0"/>
    <s v="2024-01-22"/>
    <x v="0"/>
    <x v="0"/>
    <n v="1"/>
    <s v="Q1"/>
  </r>
  <r>
    <x v="11"/>
    <x v="9"/>
    <s v="Forex"/>
    <x v="0"/>
    <n v="1.2326999999999999"/>
    <n v="1.2361"/>
    <n v="25000"/>
    <n v="1.2315"/>
    <n v="1.2362"/>
    <n v="27.86"/>
    <n v="57.140000000001734"/>
    <n v="57.859999999996695"/>
    <n v="0.98755617006576213"/>
    <x v="0"/>
    <s v="Higher highs and higher lows"/>
    <x v="1"/>
    <n v="1"/>
    <s v="2024-01-24"/>
    <x v="0"/>
    <x v="0"/>
    <n v="1"/>
    <s v="Q1"/>
  </r>
  <r>
    <x v="12"/>
    <x v="0"/>
    <s v="US Equities"/>
    <x v="1"/>
    <n v="365.91"/>
    <n v="365.45"/>
    <n v="15"/>
    <n v="366.37"/>
    <n v="364.34"/>
    <n v="32.549999999999997"/>
    <n v="-25.649999999999451"/>
    <n v="39.44999999999969"/>
    <n v="-0.6501901140684323"/>
    <x v="7"/>
    <s v="Bull flag continuation"/>
    <x v="0"/>
    <n v="0"/>
    <s v="2024-01-29"/>
    <x v="0"/>
    <x v="0"/>
    <n v="1"/>
    <s v="Q1"/>
  </r>
  <r>
    <x v="13"/>
    <x v="9"/>
    <s v="Forex"/>
    <x v="1"/>
    <n v="1.2943"/>
    <n v="1.2945"/>
    <n v="25000"/>
    <n v="1.2956000000000001"/>
    <n v="1.2916000000000001"/>
    <n v="31.34"/>
    <n v="-36.339999999999449"/>
    <n v="63.840000000001979"/>
    <n v="-0.56923558897240478"/>
    <x v="3"/>
    <s v="EMA crossover signal"/>
    <x v="0"/>
    <n v="0"/>
    <s v="2024-02-01"/>
    <x v="0"/>
    <x v="1"/>
    <n v="2"/>
    <s v="Q1"/>
  </r>
  <r>
    <x v="14"/>
    <x v="1"/>
    <s v="US Equities"/>
    <x v="1"/>
    <n v="533.17999999999995"/>
    <n v="529.05999999999995"/>
    <n v="10"/>
    <n v="534.57000000000005"/>
    <n v="528.46"/>
    <n v="20.83"/>
    <n v="20.370000000000047"/>
    <n v="34.730000000000999"/>
    <n v="0.58652461848544379"/>
    <x v="4"/>
    <s v="Stop run then reversal"/>
    <x v="1"/>
    <n v="1"/>
    <s v="2024-02-02"/>
    <x v="0"/>
    <x v="1"/>
    <n v="2"/>
    <s v="Q1"/>
  </r>
  <r>
    <x v="15"/>
    <x v="10"/>
    <s v="Forex"/>
    <x v="0"/>
    <n v="1.3584000000000001"/>
    <n v="1.3604000000000001"/>
    <n v="30000"/>
    <n v="1.3575999999999999"/>
    <n v="1.3612"/>
    <n v="18.14"/>
    <n v="41.860000000000056"/>
    <n v="42.140000000004022"/>
    <n v="0.99335548172748123"/>
    <x v="7"/>
    <s v="Stop run then reversal"/>
    <x v="1"/>
    <n v="1"/>
    <s v="2024-02-05"/>
    <x v="0"/>
    <x v="1"/>
    <n v="2"/>
    <s v="Q1"/>
  </r>
  <r>
    <x v="16"/>
    <x v="7"/>
    <s v="Crypto"/>
    <x v="0"/>
    <n v="39920.776899999997"/>
    <n v="40606.6659"/>
    <n v="0.3"/>
    <n v="39077.6397"/>
    <n v="42177.754200000003"/>
    <n v="26.24"/>
    <n v="179.52670000000083"/>
    <n v="279.18115999999918"/>
    <n v="0.64304733170390638"/>
    <x v="1"/>
    <s v="Tight consolidation breakout"/>
    <x v="1"/>
    <n v="1"/>
    <s v="2024-02-08"/>
    <x v="0"/>
    <x v="1"/>
    <n v="2"/>
    <s v="Q1"/>
  </r>
  <r>
    <x v="17"/>
    <x v="6"/>
    <s v="US Equities"/>
    <x v="0"/>
    <n v="463.13"/>
    <n v="463.66"/>
    <n v="20"/>
    <n v="462.82"/>
    <n v="463.9"/>
    <n v="26.7"/>
    <n v="-16.099999999999408"/>
    <n v="32.900000000000048"/>
    <n v="-0.48936170212764085"/>
    <x v="3"/>
    <s v="Opening range breakout"/>
    <x v="0"/>
    <n v="0"/>
    <s v="2024-02-09"/>
    <x v="0"/>
    <x v="1"/>
    <n v="2"/>
    <s v="Q1"/>
  </r>
  <r>
    <x v="18"/>
    <x v="4"/>
    <s v="Crypto"/>
    <x v="1"/>
    <n v="0.56820000000000004"/>
    <n v="0.54320000000000002"/>
    <n v="5000"/>
    <n v="0.58009999999999995"/>
    <n v="0.53469999999999995"/>
    <n v="17.329999999999998"/>
    <n v="107.67000000000012"/>
    <n v="76.829999999999558"/>
    <n v="1.4014057008980962"/>
    <x v="1"/>
    <s v="Liquidity grab at lows"/>
    <x v="1"/>
    <n v="1"/>
    <s v="2024-02-12"/>
    <x v="0"/>
    <x v="1"/>
    <n v="2"/>
    <s v="Q1"/>
  </r>
  <r>
    <x v="19"/>
    <x v="11"/>
    <s v="US Equities"/>
    <x v="0"/>
    <n v="258.26"/>
    <n v="258.01"/>
    <n v="15"/>
    <n v="257.77"/>
    <n v="259.18"/>
    <n v="9.2100000000000009"/>
    <n v="-12.96"/>
    <n v="16.560000000000137"/>
    <n v="-0.78260869565216751"/>
    <x v="3"/>
    <s v="Support zone rejection"/>
    <x v="0"/>
    <n v="0"/>
    <s v="2024-02-15"/>
    <x v="0"/>
    <x v="1"/>
    <n v="2"/>
    <s v="Q1"/>
  </r>
  <r>
    <x v="20"/>
    <x v="12"/>
    <s v="US Equities"/>
    <x v="1"/>
    <n v="433.86"/>
    <n v="432.51"/>
    <n v="20"/>
    <n v="434.4"/>
    <n v="432.46"/>
    <n v="34.979999999999997"/>
    <n v="-7.9799999999995421"/>
    <n v="45.779999999999269"/>
    <n v="-0.17431192660549738"/>
    <x v="1"/>
    <s v="Opening range breakout"/>
    <x v="0"/>
    <n v="0"/>
    <s v="2024-02-16"/>
    <x v="0"/>
    <x v="1"/>
    <n v="2"/>
    <s v="Q1"/>
  </r>
  <r>
    <x v="21"/>
    <x v="1"/>
    <s v="US Equities"/>
    <x v="0"/>
    <n v="521.41"/>
    <n v="522.61"/>
    <n v="10"/>
    <n v="520.33000000000004"/>
    <n v="523.16"/>
    <n v="34.56"/>
    <n v="-22.559999999999548"/>
    <n v="45.359999999999275"/>
    <n v="-0.49735449735449533"/>
    <x v="8"/>
    <s v="Higher highs and higher lows"/>
    <x v="0"/>
    <n v="0"/>
    <s v="2024-02-19"/>
    <x v="0"/>
    <x v="1"/>
    <n v="2"/>
    <s v="Q1"/>
  </r>
  <r>
    <x v="22"/>
    <x v="7"/>
    <s v="Crypto"/>
    <x v="1"/>
    <n v="66719.529200000004"/>
    <n v="66921.66"/>
    <n v="0.3"/>
    <n v="67564.143899999995"/>
    <n v="64239.050799999997"/>
    <n v="13.9"/>
    <n v="-74.539239999999694"/>
    <n v="267.28440999999725"/>
    <n v="-0.27887612300321019"/>
    <x v="2"/>
    <s v="Inside bar breakout"/>
    <x v="0"/>
    <n v="0"/>
    <s v="2024-02-21"/>
    <x v="0"/>
    <x v="1"/>
    <n v="2"/>
    <s v="Q1"/>
  </r>
  <r>
    <x v="23"/>
    <x v="4"/>
    <s v="Crypto"/>
    <x v="0"/>
    <n v="0.46250000000000002"/>
    <n v="0.48809999999999998"/>
    <n v="5000"/>
    <n v="0.43409999999999999"/>
    <n v="0.5353"/>
    <n v="20.23"/>
    <n v="107.76999999999978"/>
    <n v="162.23000000000016"/>
    <n v="0.6643037662577802"/>
    <x v="5"/>
    <s v="Clean breakout above resistance"/>
    <x v="1"/>
    <n v="1"/>
    <s v="2024-02-22"/>
    <x v="0"/>
    <x v="1"/>
    <n v="2"/>
    <s v="Q1"/>
  </r>
  <r>
    <x v="24"/>
    <x v="1"/>
    <s v="US Equities"/>
    <x v="0"/>
    <n v="429.97"/>
    <n v="429.57"/>
    <n v="10"/>
    <n v="429.07"/>
    <n v="432.39"/>
    <n v="17.579999999999998"/>
    <n v="-21.580000000000339"/>
    <n v="26.580000000000339"/>
    <n v="-0.81188863807374201"/>
    <x v="1"/>
    <s v="Support zone rejection"/>
    <x v="0"/>
    <n v="0"/>
    <s v="2024-02-23"/>
    <x v="0"/>
    <x v="1"/>
    <n v="2"/>
    <s v="Q1"/>
  </r>
  <r>
    <x v="25"/>
    <x v="4"/>
    <s v="Crypto"/>
    <x v="1"/>
    <n v="0.61739999999999995"/>
    <n v="0.59989999999999999"/>
    <n v="5000"/>
    <n v="0.63270000000000004"/>
    <n v="0.59040000000000004"/>
    <n v="18.72"/>
    <n v="68.779999999999802"/>
    <n v="95.220000000000454"/>
    <n v="0.72232724217600797"/>
    <x v="0"/>
    <s v="News catalyst — beat expectations"/>
    <x v="1"/>
    <n v="1"/>
    <s v="2024-02-26"/>
    <x v="0"/>
    <x v="1"/>
    <n v="2"/>
    <s v="Q1"/>
  </r>
  <r>
    <x v="26"/>
    <x v="2"/>
    <s v="US Equities"/>
    <x v="1"/>
    <n v="199.8"/>
    <n v="199.48"/>
    <n v="20"/>
    <n v="200.16"/>
    <n v="199.07"/>
    <n v="31.43"/>
    <n v="-25.029999999999568"/>
    <n v="38.629999999999704"/>
    <n v="-0.64794201397876672"/>
    <x v="9"/>
    <s v="Head and shoulders breakdown"/>
    <x v="0"/>
    <n v="0"/>
    <s v="2024-02-27"/>
    <x v="0"/>
    <x v="1"/>
    <n v="2"/>
    <s v="Q1"/>
  </r>
  <r>
    <x v="27"/>
    <x v="5"/>
    <s v="Forex"/>
    <x v="1"/>
    <n v="150.00489999999999"/>
    <n v="150.08150000000001"/>
    <n v="20000"/>
    <n v="150.11609999999999"/>
    <n v="149.61850000000001"/>
    <n v="5.23"/>
    <n v="-1537.2300000002665"/>
    <n v="2229.2299999999327"/>
    <n v="-0.68957891289831597"/>
    <x v="8"/>
    <s v="Double bottom confirmed"/>
    <x v="0"/>
    <n v="0"/>
    <s v="2024-02-28"/>
    <x v="0"/>
    <x v="1"/>
    <n v="2"/>
    <s v="Q1"/>
  </r>
  <r>
    <x v="28"/>
    <x v="13"/>
    <s v="Forex"/>
    <x v="0"/>
    <n v="1.0581"/>
    <n v="1.0598000000000001"/>
    <n v="30000"/>
    <n v="1.0569999999999999"/>
    <n v="1.0603"/>
    <n v="26.53"/>
    <n v="24.470000000001043"/>
    <n v="59.530000000003028"/>
    <n v="0.41105325046194857"/>
    <x v="8"/>
    <s v="Divergence on MACD"/>
    <x v="1"/>
    <n v="1"/>
    <s v="2024-03-04"/>
    <x v="0"/>
    <x v="2"/>
    <n v="3"/>
    <s v="Q1"/>
  </r>
  <r>
    <x v="29"/>
    <x v="12"/>
    <s v="US Equities"/>
    <x v="1"/>
    <n v="432.65"/>
    <n v="431.28"/>
    <n v="20"/>
    <n v="433.1"/>
    <n v="431.23"/>
    <n v="15.01"/>
    <n v="12.390000000000091"/>
    <n v="24.010000000000908"/>
    <n v="0.51603498542272486"/>
    <x v="0"/>
    <s v="Afternoon reversal setup"/>
    <x v="1"/>
    <n v="1"/>
    <s v="2024-03-05"/>
    <x v="0"/>
    <x v="2"/>
    <n v="3"/>
    <s v="Q1"/>
  </r>
  <r>
    <x v="30"/>
    <x v="12"/>
    <s v="US Equities"/>
    <x v="0"/>
    <n v="416.45"/>
    <n v="417.07"/>
    <n v="20"/>
    <n v="416.21"/>
    <n v="417.26"/>
    <n v="9.4700000000000006"/>
    <n v="2.9300000000000903"/>
    <n v="14.270000000000183"/>
    <n v="0.20532585844429241"/>
    <x v="6"/>
    <s v="Earnings surprise — large move"/>
    <x v="1"/>
    <n v="1"/>
    <s v="2024-03-06"/>
    <x v="0"/>
    <x v="2"/>
    <n v="3"/>
    <s v="Q1"/>
  </r>
  <r>
    <x v="31"/>
    <x v="5"/>
    <s v="Forex"/>
    <x v="0"/>
    <n v="140.50190000000001"/>
    <n v="140.6317"/>
    <n v="20000"/>
    <n v="140.3586"/>
    <n v="140.99549999999999"/>
    <n v="15.73"/>
    <n v="2580.2699999997762"/>
    <n v="2881.7300000002128"/>
    <n v="0.89538922799831544"/>
    <x v="2"/>
    <s v="Failed retest — stopped out"/>
    <x v="1"/>
    <n v="1"/>
    <s v="2024-03-07"/>
    <x v="0"/>
    <x v="2"/>
    <n v="3"/>
    <s v="Q1"/>
  </r>
  <r>
    <x v="32"/>
    <x v="6"/>
    <s v="US Equities"/>
    <x v="0"/>
    <n v="479.19"/>
    <n v="479.09"/>
    <n v="20"/>
    <n v="478.6"/>
    <n v="480.96"/>
    <n v="12.1"/>
    <n v="-14.100000000000454"/>
    <n v="23.899999999999501"/>
    <n v="-0.58995815899584725"/>
    <x v="5"/>
    <s v="Stop run then reversal"/>
    <x v="0"/>
    <n v="0"/>
    <s v="2024-03-11"/>
    <x v="0"/>
    <x v="2"/>
    <n v="3"/>
    <s v="Q1"/>
  </r>
  <r>
    <x v="33"/>
    <x v="14"/>
    <s v="US Equities"/>
    <x v="1"/>
    <n v="442.04"/>
    <n v="440.6"/>
    <n v="20"/>
    <n v="443.33"/>
    <n v="438.04"/>
    <n v="29.32"/>
    <n v="-0.52000000000004576"/>
    <n v="55.119999999999273"/>
    <n v="-9.4339622641518989E-3"/>
    <x v="3"/>
    <s v="Gap fill play"/>
    <x v="0"/>
    <n v="0"/>
    <s v="2024-03-12"/>
    <x v="0"/>
    <x v="2"/>
    <n v="3"/>
    <s v="Q1"/>
  </r>
  <r>
    <x v="34"/>
    <x v="14"/>
    <s v="US Equities"/>
    <x v="0"/>
    <n v="288.52"/>
    <n v="289.58"/>
    <n v="20"/>
    <n v="287.89"/>
    <n v="290.62"/>
    <n v="29.62"/>
    <n v="-8.4199999999999555"/>
    <n v="42.219999999999914"/>
    <n v="-0.19943154902889562"/>
    <x v="2"/>
    <s v="Opening range breakout"/>
    <x v="0"/>
    <n v="0"/>
    <s v="2024-03-14"/>
    <x v="0"/>
    <x v="2"/>
    <n v="3"/>
    <s v="Q1"/>
  </r>
  <r>
    <x v="35"/>
    <x v="6"/>
    <s v="US Equities"/>
    <x v="0"/>
    <n v="462.98"/>
    <n v="462.73"/>
    <n v="20"/>
    <n v="462.39"/>
    <n v="464.19"/>
    <n v="16.989999999999998"/>
    <n v="-21.99"/>
    <n v="28.790000000000635"/>
    <n v="-0.76380687738796504"/>
    <x v="1"/>
    <s v="Support zone rejection"/>
    <x v="0"/>
    <n v="0"/>
    <s v="2024-03-15"/>
    <x v="0"/>
    <x v="2"/>
    <n v="3"/>
    <s v="Q1"/>
  </r>
  <r>
    <x v="36"/>
    <x v="9"/>
    <s v="Forex"/>
    <x v="0"/>
    <n v="1.2976000000000001"/>
    <n v="1.2989999999999999"/>
    <n v="25000"/>
    <n v="1.2961"/>
    <n v="1.3006"/>
    <n v="18.04"/>
    <n v="16.95999999999615"/>
    <n v="55.54000000000142"/>
    <n v="0.30536550234057824"/>
    <x v="4"/>
    <s v="Afternoon reversal setup"/>
    <x v="1"/>
    <n v="1"/>
    <s v="2024-03-18"/>
    <x v="0"/>
    <x v="2"/>
    <n v="3"/>
    <s v="Q1"/>
  </r>
  <r>
    <x v="37"/>
    <x v="9"/>
    <s v="Forex"/>
    <x v="1"/>
    <n v="1.2293000000000001"/>
    <n v="1.2296"/>
    <n v="25000"/>
    <n v="1.23"/>
    <n v="1.2282"/>
    <n v="20.6"/>
    <n v="-28.099999999999177"/>
    <n v="38.099999999998076"/>
    <n v="-0.73753280839896573"/>
    <x v="9"/>
    <s v="Fed speech volatility"/>
    <x v="0"/>
    <n v="0"/>
    <s v="2024-03-21"/>
    <x v="0"/>
    <x v="2"/>
    <n v="3"/>
    <s v="Q1"/>
  </r>
  <r>
    <x v="38"/>
    <x v="15"/>
    <s v="US Equities"/>
    <x v="1"/>
    <n v="163.21"/>
    <n v="163.33000000000001"/>
    <n v="15"/>
    <n v="163.77000000000001"/>
    <n v="161.63"/>
    <n v="32"/>
    <n v="-33.800000000000068"/>
    <n v="40.400000000000034"/>
    <n v="-0.8366336633663376"/>
    <x v="2"/>
    <s v="RSI oversold bounce"/>
    <x v="0"/>
    <n v="0"/>
    <s v="2024-03-25"/>
    <x v="0"/>
    <x v="2"/>
    <n v="3"/>
    <s v="Q1"/>
  </r>
  <r>
    <x v="39"/>
    <x v="13"/>
    <s v="Forex"/>
    <x v="1"/>
    <n v="1.0988"/>
    <n v="1.0972999999999999"/>
    <n v="30000"/>
    <n v="1.0994999999999999"/>
    <n v="1.0968"/>
    <n v="27.44"/>
    <n v="17.560000000001704"/>
    <n v="48.439999999997688"/>
    <n v="0.36251032204794675"/>
    <x v="5"/>
    <s v="Support zone rejection"/>
    <x v="1"/>
    <n v="1"/>
    <s v="2024-03-28"/>
    <x v="0"/>
    <x v="2"/>
    <n v="3"/>
    <s v="Q1"/>
  </r>
  <r>
    <x v="40"/>
    <x v="3"/>
    <s v="Crypto"/>
    <x v="1"/>
    <n v="0.16170000000000001"/>
    <n v="0.15559999999999999"/>
    <n v="10000"/>
    <n v="0.1653"/>
    <n v="0.15060000000000001"/>
    <n v="14.67"/>
    <n v="46.330000000000219"/>
    <n v="50.669999999999924"/>
    <n v="0.91434774028025045"/>
    <x v="2"/>
    <s v="Earnings surprise — large move"/>
    <x v="1"/>
    <n v="1"/>
    <s v="2024-03-29"/>
    <x v="0"/>
    <x v="2"/>
    <n v="3"/>
    <s v="Q1"/>
  </r>
  <r>
    <x v="41"/>
    <x v="7"/>
    <s v="Crypto"/>
    <x v="0"/>
    <n v="61812.061999999998"/>
    <n v="61075.8321"/>
    <n v="0.3"/>
    <n v="60823.292800000003"/>
    <n v="64598.118399999999"/>
    <n v="24.92"/>
    <n v="-245.78896999999955"/>
    <n v="321.55075999999855"/>
    <n v="-0.76438622007922064"/>
    <x v="7"/>
    <s v="Sector rotation play"/>
    <x v="0"/>
    <n v="0"/>
    <s v="2024-04-01"/>
    <x v="0"/>
    <x v="3"/>
    <n v="4"/>
    <s v="Q2"/>
  </r>
  <r>
    <x v="42"/>
    <x v="9"/>
    <s v="Forex"/>
    <x v="0"/>
    <n v="1.2447999999999999"/>
    <n v="1.2446999999999999"/>
    <n v="25000"/>
    <n v="1.2442"/>
    <n v="1.2458"/>
    <n v="23.34"/>
    <n v="-25.839999999999726"/>
    <n v="38.339999999998348"/>
    <n v="-0.67396974439230151"/>
    <x v="1"/>
    <s v="Demand zone bounce"/>
    <x v="0"/>
    <n v="0"/>
    <s v="2024-04-04"/>
    <x v="0"/>
    <x v="3"/>
    <n v="4"/>
    <s v="Q2"/>
  </r>
  <r>
    <x v="43"/>
    <x v="7"/>
    <s v="Crypto"/>
    <x v="1"/>
    <n v="59550.377500000002"/>
    <n v="58750.866600000001"/>
    <n v="0.3"/>
    <n v="60270.099800000004"/>
    <n v="58258.373299999999"/>
    <n v="31.78"/>
    <n v="208.07327000000032"/>
    <n v="247.69669000000039"/>
    <n v="0.8400325010398807"/>
    <x v="9"/>
    <s v="News catalyst — beat expectations"/>
    <x v="1"/>
    <n v="1"/>
    <s v="2024-04-05"/>
    <x v="0"/>
    <x v="3"/>
    <n v="4"/>
    <s v="Q2"/>
  </r>
  <r>
    <x v="44"/>
    <x v="10"/>
    <s v="Forex"/>
    <x v="0"/>
    <n v="1.3766"/>
    <n v="1.3776999999999999"/>
    <n v="30000"/>
    <n v="1.3759999999999999"/>
    <n v="1.3777999999999999"/>
    <n v="18.690000000000001"/>
    <n v="14.309999999996361"/>
    <n v="36.69000000000468"/>
    <n v="0.39002452984449537"/>
    <x v="8"/>
    <s v="Liquidity grab at lows"/>
    <x v="1"/>
    <n v="1"/>
    <s v="2024-04-08"/>
    <x v="0"/>
    <x v="3"/>
    <n v="4"/>
    <s v="Q2"/>
  </r>
  <r>
    <x v="45"/>
    <x v="16"/>
    <s v="Crypto"/>
    <x v="1"/>
    <n v="161.50069999999999"/>
    <n v="163.8237"/>
    <n v="10"/>
    <n v="166.1344"/>
    <n v="146.14599999999999"/>
    <n v="9.77"/>
    <n v="-33.000000000000071"/>
    <n v="56.107000000000042"/>
    <n v="-0.58816190493164933"/>
    <x v="6"/>
    <s v="Bull flag continuation"/>
    <x v="0"/>
    <n v="0"/>
    <s v="2024-04-10"/>
    <x v="0"/>
    <x v="3"/>
    <n v="4"/>
    <s v="Q2"/>
  </r>
  <r>
    <x v="46"/>
    <x v="7"/>
    <s v="Crypto"/>
    <x v="1"/>
    <n v="57129.843099999998"/>
    <n v="57413.468500000003"/>
    <n v="0.3"/>
    <n v="57946.883000000002"/>
    <n v="54880.126300000004"/>
    <n v="7.32"/>
    <n v="-92.407620000001344"/>
    <n v="252.431970000001"/>
    <n v="-0.36606940079737516"/>
    <x v="1"/>
    <s v="VWAP reclaim trade"/>
    <x v="0"/>
    <n v="0"/>
    <s v="2024-04-12"/>
    <x v="0"/>
    <x v="3"/>
    <n v="4"/>
    <s v="Q2"/>
  </r>
  <r>
    <x v="47"/>
    <x v="6"/>
    <s v="US Equities"/>
    <x v="1"/>
    <n v="502.51"/>
    <n v="501.98"/>
    <n v="20"/>
    <n v="502.77"/>
    <n v="501.92"/>
    <n v="11.42"/>
    <n v="-0.82000000000054563"/>
    <n v="16.61999999999982"/>
    <n v="-4.9338146811104364E-2"/>
    <x v="5"/>
    <s v="Overbought — faded the rally"/>
    <x v="0"/>
    <n v="0"/>
    <s v="2024-04-15"/>
    <x v="0"/>
    <x v="3"/>
    <n v="4"/>
    <s v="Q2"/>
  </r>
  <r>
    <x v="48"/>
    <x v="10"/>
    <s v="Forex"/>
    <x v="1"/>
    <n v="1.3332999999999999"/>
    <n v="1.3315999999999999"/>
    <n v="30000"/>
    <n v="1.3342000000000001"/>
    <n v="1.3303"/>
    <n v="25.87"/>
    <n v="25.130000000001044"/>
    <n v="52.870000000003685"/>
    <n v="0.47531681482881205"/>
    <x v="7"/>
    <s v="Double bottom confirmed"/>
    <x v="1"/>
    <n v="1"/>
    <s v="2024-04-17"/>
    <x v="0"/>
    <x v="3"/>
    <n v="4"/>
    <s v="Q2"/>
  </r>
  <r>
    <x v="49"/>
    <x v="17"/>
    <s v="Forex"/>
    <x v="1"/>
    <n v="0.64790000000000003"/>
    <n v="0.64529999999999998"/>
    <n v="40000"/>
    <n v="0.64929999999999999"/>
    <n v="0.64349999999999996"/>
    <n v="27.04"/>
    <n v="76.960000000001884"/>
    <n v="83.039999999998273"/>
    <n v="0.92678227360312482"/>
    <x v="3"/>
    <s v="Pre-market gap up follow-through"/>
    <x v="1"/>
    <n v="1"/>
    <s v="2024-04-22"/>
    <x v="0"/>
    <x v="3"/>
    <n v="4"/>
    <s v="Q2"/>
  </r>
  <r>
    <x v="50"/>
    <x v="6"/>
    <s v="US Equities"/>
    <x v="1"/>
    <n v="470.51"/>
    <n v="469.84"/>
    <n v="20"/>
    <n v="470.84"/>
    <n v="469.57"/>
    <n v="9.9499999999999993"/>
    <n v="3.450000000000319"/>
    <n v="16.549999999999681"/>
    <n v="0.20845921450153387"/>
    <x v="1"/>
    <s v="Divergence on MACD"/>
    <x v="1"/>
    <n v="1"/>
    <s v="2024-04-25"/>
    <x v="0"/>
    <x v="3"/>
    <n v="4"/>
    <s v="Q2"/>
  </r>
  <r>
    <x v="51"/>
    <x v="8"/>
    <s v="US Equities"/>
    <x v="0"/>
    <n v="179.75"/>
    <n v="180.61"/>
    <n v="20"/>
    <n v="179.06"/>
    <n v="180.97"/>
    <n v="6.51"/>
    <n v="10.690000000000273"/>
    <n v="20.309999999999953"/>
    <n v="0.52634170359430321"/>
    <x v="2"/>
    <s v="Head and shoulders breakdown"/>
    <x v="1"/>
    <n v="1"/>
    <s v="2024-04-29"/>
    <x v="0"/>
    <x v="3"/>
    <n v="4"/>
    <s v="Q2"/>
  </r>
  <r>
    <x v="52"/>
    <x v="9"/>
    <s v="Forex"/>
    <x v="0"/>
    <n v="1.2470000000000001"/>
    <n v="1.2464999999999999"/>
    <n v="25000"/>
    <n v="1.2462"/>
    <n v="1.2497"/>
    <n v="30.05"/>
    <n v="-42.550000000004175"/>
    <n v="50.050000000003351"/>
    <n v="-0.85014985014987665"/>
    <x v="6"/>
    <s v="Overbought — faded the rally"/>
    <x v="0"/>
    <n v="0"/>
    <s v="2024-05-01"/>
    <x v="0"/>
    <x v="4"/>
    <n v="5"/>
    <s v="Q2"/>
  </r>
  <r>
    <x v="53"/>
    <x v="2"/>
    <s v="US Equities"/>
    <x v="0"/>
    <n v="182.51"/>
    <n v="182.43"/>
    <n v="20"/>
    <n v="181.93"/>
    <n v="184.25"/>
    <n v="10.98"/>
    <n v="-12.579999999999682"/>
    <n v="22.579999999999682"/>
    <n v="-0.55713020372010003"/>
    <x v="5"/>
    <s v="Tight consolidation breakout"/>
    <x v="0"/>
    <n v="0"/>
    <s v="2024-05-03"/>
    <x v="0"/>
    <x v="4"/>
    <n v="5"/>
    <s v="Q2"/>
  </r>
  <r>
    <x v="54"/>
    <x v="3"/>
    <s v="Crypto"/>
    <x v="0"/>
    <n v="0.1221"/>
    <n v="0.13089999999999999"/>
    <n v="10000"/>
    <n v="0.1149"/>
    <n v="0.1396"/>
    <n v="16.07"/>
    <n v="71.929999999999893"/>
    <n v="88.07"/>
    <n v="0.81673668672646649"/>
    <x v="1"/>
    <s v="Failed retest — stopped out"/>
    <x v="1"/>
    <n v="1"/>
    <s v="2024-05-06"/>
    <x v="0"/>
    <x v="4"/>
    <n v="5"/>
    <s v="Q2"/>
  </r>
  <r>
    <x v="55"/>
    <x v="3"/>
    <s v="Crypto"/>
    <x v="0"/>
    <n v="8.1900000000000001E-2"/>
    <n v="9.3200000000000005E-2"/>
    <n v="10000"/>
    <n v="7.7799999999999994E-2"/>
    <n v="9.3600000000000003E-2"/>
    <n v="16.899999999999999"/>
    <n v="96.100000000000051"/>
    <n v="57.900000000000063"/>
    <n v="1.6597582037996537"/>
    <x v="8"/>
    <s v="Trendline support held"/>
    <x v="1"/>
    <n v="1"/>
    <s v="2024-05-09"/>
    <x v="0"/>
    <x v="4"/>
    <n v="5"/>
    <s v="Q2"/>
  </r>
  <r>
    <x v="56"/>
    <x v="15"/>
    <s v="US Equities"/>
    <x v="0"/>
    <n v="159.07"/>
    <n v="160.08000000000001"/>
    <n v="15"/>
    <n v="158.47"/>
    <n v="160.33000000000001"/>
    <n v="29.17"/>
    <n v="-14.019999999999712"/>
    <n v="38.169999999999916"/>
    <n v="-0.36730416557505219"/>
    <x v="9"/>
    <s v="Inside bar breakout"/>
    <x v="0"/>
    <n v="0"/>
    <s v="2024-05-13"/>
    <x v="0"/>
    <x v="4"/>
    <n v="5"/>
    <s v="Q2"/>
  </r>
  <r>
    <x v="57"/>
    <x v="11"/>
    <s v="US Equities"/>
    <x v="1"/>
    <n v="252.92"/>
    <n v="251.8"/>
    <n v="15"/>
    <n v="253.84"/>
    <n v="251.52"/>
    <n v="19.71"/>
    <n v="-2.910000000000359"/>
    <n v="33.51000000000024"/>
    <n v="-8.6839749328568736E-2"/>
    <x v="7"/>
    <s v="Higher highs and higher lows"/>
    <x v="0"/>
    <n v="0"/>
    <s v="2024-05-16"/>
    <x v="0"/>
    <x v="4"/>
    <n v="5"/>
    <s v="Q2"/>
  </r>
  <r>
    <x v="58"/>
    <x v="5"/>
    <s v="Forex"/>
    <x v="1"/>
    <n v="142.11359999999999"/>
    <n v="142.00370000000001"/>
    <n v="20000"/>
    <n v="142.2286"/>
    <n v="141.79939999999999"/>
    <n v="28.24"/>
    <n v="2169.7599999996382"/>
    <n v="2328.2400000001817"/>
    <n v="0.93193141600499474"/>
    <x v="8"/>
    <s v="Higher highs and higher lows"/>
    <x v="1"/>
    <n v="1"/>
    <s v="2024-05-20"/>
    <x v="0"/>
    <x v="4"/>
    <n v="5"/>
    <s v="Q2"/>
  </r>
  <r>
    <x v="59"/>
    <x v="10"/>
    <s v="Forex"/>
    <x v="1"/>
    <n v="1.3196000000000001"/>
    <n v="1.3202"/>
    <n v="30000"/>
    <n v="1.3204"/>
    <n v="1.3177000000000001"/>
    <n v="22.1"/>
    <n v="-40.099999999998019"/>
    <n v="46.099999999997358"/>
    <n v="-0.86984815618221945"/>
    <x v="5"/>
    <s v="Opening range breakout"/>
    <x v="0"/>
    <n v="0"/>
    <s v="2024-05-22"/>
    <x v="0"/>
    <x v="4"/>
    <n v="5"/>
    <s v="Q2"/>
  </r>
  <r>
    <x v="60"/>
    <x v="17"/>
    <s v="Forex"/>
    <x v="1"/>
    <n v="0.68110000000000004"/>
    <n v="0.67949999999999999"/>
    <n v="40000"/>
    <n v="0.68179999999999996"/>
    <n v="0.67889999999999995"/>
    <n v="31.41"/>
    <n v="32.590000000001837"/>
    <n v="59.409999999996913"/>
    <n v="0.5485608483420894"/>
    <x v="3"/>
    <s v="Sector rotation play"/>
    <x v="1"/>
    <n v="1"/>
    <s v="2024-05-27"/>
    <x v="0"/>
    <x v="4"/>
    <n v="5"/>
    <s v="Q2"/>
  </r>
  <r>
    <x v="61"/>
    <x v="12"/>
    <s v="US Equities"/>
    <x v="0"/>
    <n v="366.85"/>
    <n v="366.7"/>
    <n v="20"/>
    <n v="366.45"/>
    <n v="368.06"/>
    <n v="24.38"/>
    <n v="-27.380000000000681"/>
    <n v="32.380000000000678"/>
    <n v="-0.84558369363805153"/>
    <x v="7"/>
    <s v="News catalyst — beat expectations"/>
    <x v="0"/>
    <n v="0"/>
    <s v="2024-05-30"/>
    <x v="0"/>
    <x v="4"/>
    <n v="5"/>
    <s v="Q2"/>
  </r>
  <r>
    <x v="62"/>
    <x v="7"/>
    <s v="Crypto"/>
    <x v="0"/>
    <n v="44647.892"/>
    <n v="44277.639900000002"/>
    <n v="0.3"/>
    <n v="44002.927199999998"/>
    <n v="46365.504999999997"/>
    <n v="20.93"/>
    <n v="-132.00562999999937"/>
    <n v="214.41944000000046"/>
    <n v="-0.61564207984126385"/>
    <x v="4"/>
    <s v="Trendline support held"/>
    <x v="0"/>
    <n v="0"/>
    <s v="2024-06-03"/>
    <x v="0"/>
    <x v="5"/>
    <n v="6"/>
    <s v="Q2"/>
  </r>
  <r>
    <x v="63"/>
    <x v="18"/>
    <s v="Crypto"/>
    <x v="1"/>
    <n v="357.13670000000002"/>
    <n v="340.57909999999998"/>
    <n v="5"/>
    <n v="364.44209999999998"/>
    <n v="335.64010000000002"/>
    <n v="27.29"/>
    <n v="55.498000000000182"/>
    <n v="63.816999999999815"/>
    <n v="0.8696428851246587"/>
    <x v="5"/>
    <s v="Inside bar breakout"/>
    <x v="1"/>
    <n v="1"/>
    <s v="2024-06-05"/>
    <x v="0"/>
    <x v="5"/>
    <n v="6"/>
    <s v="Q2"/>
  </r>
  <r>
    <x v="64"/>
    <x v="14"/>
    <s v="US Equities"/>
    <x v="0"/>
    <n v="386.52"/>
    <n v="385.53"/>
    <n v="20"/>
    <n v="385.19"/>
    <n v="389.91"/>
    <n v="8.02"/>
    <n v="-27.820000000000181"/>
    <n v="34.619999999999678"/>
    <n v="-0.80358174465628074"/>
    <x v="1"/>
    <s v="ATH breakout — momentum play"/>
    <x v="0"/>
    <n v="0"/>
    <s v="2024-06-10"/>
    <x v="0"/>
    <x v="5"/>
    <n v="6"/>
    <s v="Q2"/>
  </r>
  <r>
    <x v="65"/>
    <x v="13"/>
    <s v="Forex"/>
    <x v="0"/>
    <n v="1.0711999999999999"/>
    <n v="1.0706"/>
    <n v="30000"/>
    <n v="1.0706"/>
    <n v="1.0722"/>
    <n v="13.76"/>
    <n v="-31.759999999998016"/>
    <n v="31.759999999998016"/>
    <n v="-1"/>
    <x v="5"/>
    <s v="Gap fill play"/>
    <x v="0"/>
    <n v="0"/>
    <s v="2024-06-11"/>
    <x v="0"/>
    <x v="5"/>
    <n v="6"/>
    <s v="Q2"/>
  </r>
  <r>
    <x v="66"/>
    <x v="19"/>
    <s v="Crypto"/>
    <x v="0"/>
    <n v="2511.8108000000002"/>
    <n v="2610.2923999999998"/>
    <n v="1.5"/>
    <n v="2444.5542999999998"/>
    <n v="2742.5675000000001"/>
    <n v="30.85"/>
    <n v="116.87239999999943"/>
    <n v="131.73475000000062"/>
    <n v="0.88717973048112886"/>
    <x v="3"/>
    <s v="Head and shoulders breakdown"/>
    <x v="1"/>
    <n v="1"/>
    <s v="2024-06-12"/>
    <x v="0"/>
    <x v="5"/>
    <n v="6"/>
    <s v="Q2"/>
  </r>
  <r>
    <x v="67"/>
    <x v="1"/>
    <s v="US Equities"/>
    <x v="1"/>
    <n v="544.26"/>
    <n v="545"/>
    <n v="10"/>
    <n v="545.04"/>
    <n v="541.82000000000005"/>
    <n v="7.56"/>
    <n v="-14.96000000000009"/>
    <n v="15.359999999999726"/>
    <n v="-0.97395833333335657"/>
    <x v="6"/>
    <s v="RSI oversold bounce"/>
    <x v="0"/>
    <n v="0"/>
    <s v="2024-06-13"/>
    <x v="0"/>
    <x v="5"/>
    <n v="6"/>
    <s v="Q2"/>
  </r>
  <r>
    <x v="68"/>
    <x v="0"/>
    <s v="US Equities"/>
    <x v="1"/>
    <n v="413.26"/>
    <n v="412.04"/>
    <n v="15"/>
    <n v="413.98"/>
    <n v="411.53"/>
    <n v="30.8"/>
    <n v="-12.500000000000444"/>
    <n v="41.600000000000406"/>
    <n v="-0.30048076923077699"/>
    <x v="9"/>
    <s v="Bull flag continuation"/>
    <x v="0"/>
    <n v="0"/>
    <s v="2024-06-14"/>
    <x v="0"/>
    <x v="5"/>
    <n v="6"/>
    <s v="Q2"/>
  </r>
  <r>
    <x v="69"/>
    <x v="13"/>
    <s v="Forex"/>
    <x v="0"/>
    <n v="1.0569"/>
    <n v="1.0559000000000001"/>
    <n v="30000"/>
    <n v="1.0558000000000001"/>
    <n v="1.0590999999999999"/>
    <n v="12.2"/>
    <n v="-42.199999999996692"/>
    <n v="45.199999999996365"/>
    <n v="-0.93362831858407269"/>
    <x v="9"/>
    <s v="ATH breakout — momentum play"/>
    <x v="0"/>
    <n v="0"/>
    <s v="2024-06-17"/>
    <x v="0"/>
    <x v="5"/>
    <n v="6"/>
    <s v="Q2"/>
  </r>
  <r>
    <x v="70"/>
    <x v="1"/>
    <s v="US Equities"/>
    <x v="0"/>
    <n v="512.63"/>
    <n v="514.16999999999996"/>
    <n v="10"/>
    <n v="511.68"/>
    <n v="514.49"/>
    <n v="26.09"/>
    <n v="-10.690000000000364"/>
    <n v="35.58999999999989"/>
    <n v="-0.3003652711435908"/>
    <x v="3"/>
    <s v="Higher highs and higher lows"/>
    <x v="0"/>
    <n v="0"/>
    <s v="2024-06-20"/>
    <x v="0"/>
    <x v="5"/>
    <n v="6"/>
    <s v="Q2"/>
  </r>
  <r>
    <x v="71"/>
    <x v="1"/>
    <s v="US Equities"/>
    <x v="0"/>
    <n v="597.80999999999995"/>
    <n v="599.25"/>
    <n v="10"/>
    <n v="596.25"/>
    <n v="600.77"/>
    <n v="11.74"/>
    <n v="2.6600000000005455"/>
    <n v="27.339999999999456"/>
    <n v="9.7293343087073825E-2"/>
    <x v="0"/>
    <s v="Liquidity grab at lows"/>
    <x v="1"/>
    <n v="1"/>
    <s v="2024-06-24"/>
    <x v="0"/>
    <x v="5"/>
    <n v="6"/>
    <s v="Q2"/>
  </r>
  <r>
    <x v="72"/>
    <x v="12"/>
    <s v="US Equities"/>
    <x v="0"/>
    <n v="373.27"/>
    <n v="373.94"/>
    <n v="20"/>
    <n v="372.77"/>
    <n v="374.59"/>
    <n v="8.73"/>
    <n v="4.6700000000003179"/>
    <n v="18.73"/>
    <n v="0.24933262146291071"/>
    <x v="4"/>
    <s v="Clean breakout above resistance"/>
    <x v="1"/>
    <n v="1"/>
    <s v="2024-06-25"/>
    <x v="0"/>
    <x v="5"/>
    <n v="6"/>
    <s v="Q2"/>
  </r>
  <r>
    <x v="73"/>
    <x v="13"/>
    <s v="Forex"/>
    <x v="1"/>
    <n v="1.0878000000000001"/>
    <n v="1.0862000000000001"/>
    <n v="30000"/>
    <n v="1.0889"/>
    <n v="1.0842000000000001"/>
    <n v="23.11"/>
    <n v="24.890000000001379"/>
    <n v="56.109999999996361"/>
    <n v="0.44359294243455699"/>
    <x v="0"/>
    <s v="Fed speech volatility"/>
    <x v="1"/>
    <n v="1"/>
    <s v="2024-06-28"/>
    <x v="0"/>
    <x v="5"/>
    <n v="6"/>
    <s v="Q2"/>
  </r>
  <r>
    <x v="74"/>
    <x v="1"/>
    <s v="US Equities"/>
    <x v="0"/>
    <n v="637.70000000000005"/>
    <n v="636.34"/>
    <n v="10"/>
    <n v="636.29"/>
    <n v="640.58000000000004"/>
    <n v="27.69"/>
    <n v="-41.290000000000134"/>
    <n v="41.790000000000816"/>
    <n v="-0.98803541517107751"/>
    <x v="9"/>
    <s v="Head and shoulders breakdown"/>
    <x v="0"/>
    <n v="0"/>
    <s v="2024-07-01"/>
    <x v="0"/>
    <x v="6"/>
    <n v="7"/>
    <s v="Q3"/>
  </r>
  <r>
    <x v="75"/>
    <x v="16"/>
    <s v="Crypto"/>
    <x v="1"/>
    <n v="179.69450000000001"/>
    <n v="165.2499"/>
    <n v="10"/>
    <n v="186.26570000000001"/>
    <n v="157.102"/>
    <n v="17.25"/>
    <n v="127.19600000000008"/>
    <n v="82.962000000000046"/>
    <n v="1.5331838673127458"/>
    <x v="0"/>
    <s v="Gap fill play"/>
    <x v="1"/>
    <n v="1"/>
    <s v="2024-07-03"/>
    <x v="0"/>
    <x v="6"/>
    <n v="7"/>
    <s v="Q3"/>
  </r>
  <r>
    <x v="76"/>
    <x v="0"/>
    <s v="US Equities"/>
    <x v="0"/>
    <n v="405.49"/>
    <n v="407.59"/>
    <n v="15"/>
    <n v="404.48"/>
    <n v="408.65"/>
    <n v="18.64"/>
    <n v="12.859999999999488"/>
    <n v="33.789999999999864"/>
    <n v="0.38058597218110507"/>
    <x v="5"/>
    <s v="Higher highs and higher lows"/>
    <x v="1"/>
    <n v="1"/>
    <s v="2024-07-05"/>
    <x v="0"/>
    <x v="6"/>
    <n v="7"/>
    <s v="Q3"/>
  </r>
  <r>
    <x v="77"/>
    <x v="12"/>
    <s v="US Equities"/>
    <x v="1"/>
    <n v="392.33"/>
    <n v="391.3"/>
    <n v="20"/>
    <n v="392.93"/>
    <n v="390.64"/>
    <n v="17.399999999999999"/>
    <n v="3.1999999999994557"/>
    <n v="29.400000000000453"/>
    <n v="0.10884353741494579"/>
    <x v="4"/>
    <s v="Stop run then reversal"/>
    <x v="1"/>
    <n v="1"/>
    <s v="2024-07-08"/>
    <x v="0"/>
    <x v="6"/>
    <n v="7"/>
    <s v="Q3"/>
  </r>
  <r>
    <x v="78"/>
    <x v="16"/>
    <s v="Crypto"/>
    <x v="1"/>
    <n v="129.8493"/>
    <n v="124.6849"/>
    <n v="10"/>
    <n v="132.60740000000001"/>
    <n v="124.239"/>
    <n v="13.64"/>
    <n v="38.004000000000005"/>
    <n v="41.221000000000132"/>
    <n v="0.92195725479730928"/>
    <x v="9"/>
    <s v="Stop run then reversal"/>
    <x v="1"/>
    <n v="1"/>
    <s v="2024-07-09"/>
    <x v="0"/>
    <x v="6"/>
    <n v="7"/>
    <s v="Q3"/>
  </r>
  <r>
    <x v="79"/>
    <x v="19"/>
    <s v="Crypto"/>
    <x v="0"/>
    <n v="3095.9690000000001"/>
    <n v="3190.5111000000002"/>
    <n v="1.5"/>
    <n v="3043.2986999999998"/>
    <n v="3233.0001999999999"/>
    <n v="7.8"/>
    <n v="134.01315000000017"/>
    <n v="86.805450000000334"/>
    <n v="1.5438333653013683"/>
    <x v="3"/>
    <s v="Supply zone rejection"/>
    <x v="1"/>
    <n v="1"/>
    <s v="2024-07-12"/>
    <x v="0"/>
    <x v="6"/>
    <n v="7"/>
    <s v="Q3"/>
  </r>
  <r>
    <x v="80"/>
    <x v="7"/>
    <s v="Crypto"/>
    <x v="0"/>
    <n v="65979.591799999995"/>
    <n v="67463.402900000001"/>
    <n v="0.3"/>
    <n v="65015.262499999997"/>
    <n v="68227.424799999993"/>
    <n v="19.170000000000002"/>
    <n v="425.97333000000185"/>
    <n v="308.46878999999927"/>
    <n v="1.3809284563277953"/>
    <x v="8"/>
    <s v="Sector rotation play"/>
    <x v="1"/>
    <n v="1"/>
    <s v="2024-07-15"/>
    <x v="0"/>
    <x v="6"/>
    <n v="7"/>
    <s v="Q3"/>
  </r>
  <r>
    <x v="81"/>
    <x v="18"/>
    <s v="Crypto"/>
    <x v="0"/>
    <n v="436.7176"/>
    <n v="457.00400000000002"/>
    <n v="5"/>
    <n v="422.92430000000002"/>
    <n v="481.24310000000003"/>
    <n v="28.7"/>
    <n v="72.73200000000007"/>
    <n v="97.666499999999942"/>
    <n v="0.74469751654866423"/>
    <x v="2"/>
    <s v="News catalyst — beat expectations"/>
    <x v="1"/>
    <n v="1"/>
    <s v="2024-07-17"/>
    <x v="0"/>
    <x v="6"/>
    <n v="7"/>
    <s v="Q3"/>
  </r>
  <r>
    <x v="82"/>
    <x v="9"/>
    <s v="Forex"/>
    <x v="1"/>
    <n v="1.2781"/>
    <n v="1.2790999999999999"/>
    <n v="25000"/>
    <n v="1.2791999999999999"/>
    <n v="1.2749999999999999"/>
    <n v="18.399999999999999"/>
    <n v="-43.399999999997249"/>
    <n v="45.899999999996972"/>
    <n v="-0.94553376906318332"/>
    <x v="3"/>
    <s v="Trendline support held"/>
    <x v="0"/>
    <n v="0"/>
    <s v="2024-07-19"/>
    <x v="0"/>
    <x v="6"/>
    <n v="7"/>
    <s v="Q3"/>
  </r>
  <r>
    <x v="83"/>
    <x v="5"/>
    <s v="Forex"/>
    <x v="1"/>
    <n v="146.52119999999999"/>
    <n v="146.42869999999999"/>
    <n v="20000"/>
    <n v="146.60339999999999"/>
    <n v="146.36689999999999"/>
    <n v="22.15"/>
    <n v="1827.8500000000226"/>
    <n v="1666.1500000000055"/>
    <n v="1.0970500855265231"/>
    <x v="7"/>
    <s v="Stop run then reversal"/>
    <x v="1"/>
    <n v="1"/>
    <s v="2024-07-22"/>
    <x v="0"/>
    <x v="6"/>
    <n v="7"/>
    <s v="Q3"/>
  </r>
  <r>
    <x v="84"/>
    <x v="10"/>
    <s v="Forex"/>
    <x v="0"/>
    <n v="1.3378000000000001"/>
    <n v="1.3374999999999999"/>
    <n v="30000"/>
    <n v="1.3369"/>
    <n v="1.3409"/>
    <n v="24.56"/>
    <n v="-33.560000000005672"/>
    <n v="51.560000000003683"/>
    <n v="-0.65089216446864384"/>
    <x v="5"/>
    <s v="ATH breakout — momentum play"/>
    <x v="0"/>
    <n v="0"/>
    <s v="2024-07-23"/>
    <x v="0"/>
    <x v="6"/>
    <n v="7"/>
    <s v="Q3"/>
  </r>
  <r>
    <x v="85"/>
    <x v="19"/>
    <s v="Crypto"/>
    <x v="0"/>
    <n v="3737.6365000000001"/>
    <n v="3787.5061000000001"/>
    <n v="1.5"/>
    <n v="3689.6073000000001"/>
    <n v="3890.8534"/>
    <n v="32.31"/>
    <n v="42.494399999999985"/>
    <n v="104.35379999999992"/>
    <n v="0.40721468695917173"/>
    <x v="8"/>
    <s v="Fed speech volatility"/>
    <x v="1"/>
    <n v="1"/>
    <s v="2024-07-24"/>
    <x v="0"/>
    <x v="6"/>
    <n v="7"/>
    <s v="Q3"/>
  </r>
  <r>
    <x v="86"/>
    <x v="8"/>
    <s v="US Equities"/>
    <x v="1"/>
    <n v="176.43"/>
    <n v="176.77"/>
    <n v="20"/>
    <n v="176.93"/>
    <n v="174.99"/>
    <n v="30.55"/>
    <n v="-37.350000000000065"/>
    <n v="40.549999999999997"/>
    <n v="-0.92108508014796719"/>
    <x v="8"/>
    <s v="RSI oversold bounce"/>
    <x v="0"/>
    <n v="0"/>
    <s v="2024-07-25"/>
    <x v="0"/>
    <x v="6"/>
    <n v="7"/>
    <s v="Q3"/>
  </r>
  <r>
    <x v="87"/>
    <x v="18"/>
    <s v="Crypto"/>
    <x v="1"/>
    <n v="402.18200000000002"/>
    <n v="404.39949999999999"/>
    <n v="5"/>
    <n v="415.9058"/>
    <n v="380.61099999999999"/>
    <n v="23.93"/>
    <n v="-35.017499999999863"/>
    <n v="92.548999999999921"/>
    <n v="-0.37836713524727328"/>
    <x v="5"/>
    <s v="Supply zone rejection"/>
    <x v="0"/>
    <n v="0"/>
    <s v="2024-07-29"/>
    <x v="0"/>
    <x v="6"/>
    <n v="7"/>
    <s v="Q3"/>
  </r>
  <r>
    <x v="88"/>
    <x v="6"/>
    <s v="US Equities"/>
    <x v="0"/>
    <n v="493.23"/>
    <n v="493.05"/>
    <n v="20"/>
    <n v="492.99"/>
    <n v="493.67"/>
    <n v="5.87"/>
    <n v="-9.4700000000001374"/>
    <n v="10.670000000000183"/>
    <n v="-0.88753514526710164"/>
    <x v="2"/>
    <s v="EMA crossover signal"/>
    <x v="0"/>
    <n v="0"/>
    <s v="2024-07-31"/>
    <x v="0"/>
    <x v="6"/>
    <n v="7"/>
    <s v="Q3"/>
  </r>
  <r>
    <x v="89"/>
    <x v="11"/>
    <s v="US Equities"/>
    <x v="1"/>
    <n v="234.45"/>
    <n v="232.63"/>
    <n v="15"/>
    <n v="235.18"/>
    <n v="232.36"/>
    <n v="10.25"/>
    <n v="17.049999999999898"/>
    <n v="21.200000000000273"/>
    <n v="0.80424528301885279"/>
    <x v="5"/>
    <s v="Pre-market gap up follow-through"/>
    <x v="1"/>
    <n v="1"/>
    <s v="2024-08-02"/>
    <x v="0"/>
    <x v="7"/>
    <n v="8"/>
    <s v="Q3"/>
  </r>
  <r>
    <x v="90"/>
    <x v="17"/>
    <s v="Forex"/>
    <x v="0"/>
    <n v="0.66500000000000004"/>
    <n v="0.66710000000000003"/>
    <n v="40000"/>
    <n v="0.66390000000000005"/>
    <n v="0.66769999999999996"/>
    <n v="31.97"/>
    <n v="52.029999999999632"/>
    <n v="75.969999999999601"/>
    <n v="0.68487560879294329"/>
    <x v="6"/>
    <s v="Closing auction momentum"/>
    <x v="1"/>
    <n v="1"/>
    <s v="2024-08-05"/>
    <x v="0"/>
    <x v="7"/>
    <n v="8"/>
    <s v="Q3"/>
  </r>
  <r>
    <x v="91"/>
    <x v="13"/>
    <s v="Forex"/>
    <x v="0"/>
    <n v="1.1162000000000001"/>
    <n v="1.1158999999999999"/>
    <n v="30000"/>
    <n v="1.1153999999999999"/>
    <n v="1.1189"/>
    <n v="18.71"/>
    <n v="-27.710000000005671"/>
    <n v="42.710000000004015"/>
    <n v="-0.64879419339740263"/>
    <x v="4"/>
    <s v="Double bottom confirmed"/>
    <x v="0"/>
    <n v="0"/>
    <s v="2024-08-07"/>
    <x v="0"/>
    <x v="7"/>
    <n v="8"/>
    <s v="Q3"/>
  </r>
  <r>
    <x v="92"/>
    <x v="15"/>
    <s v="US Equities"/>
    <x v="1"/>
    <n v="138.30000000000001"/>
    <n v="136.85"/>
    <n v="15"/>
    <n v="138.84"/>
    <n v="136.41999999999999"/>
    <n v="34.340000000000003"/>
    <n v="-12.589999999999748"/>
    <n v="42.439999999999884"/>
    <n v="-0.29665409990574415"/>
    <x v="6"/>
    <s v="EMA crossover signal"/>
    <x v="0"/>
    <n v="0"/>
    <s v="2024-08-09"/>
    <x v="0"/>
    <x v="7"/>
    <n v="8"/>
    <s v="Q3"/>
  </r>
  <r>
    <x v="93"/>
    <x v="17"/>
    <s v="Forex"/>
    <x v="1"/>
    <n v="0.68189999999999995"/>
    <n v="0.68310000000000004"/>
    <n v="40000"/>
    <n v="0.68340000000000001"/>
    <n v="0.67689999999999995"/>
    <n v="29.99"/>
    <n v="-77.99000000000359"/>
    <n v="89.990000000002269"/>
    <n v="-0.86665185020559643"/>
    <x v="3"/>
    <s v="Head and shoulders breakdown"/>
    <x v="0"/>
    <n v="0"/>
    <s v="2024-08-12"/>
    <x v="0"/>
    <x v="7"/>
    <n v="8"/>
    <s v="Q3"/>
  </r>
  <r>
    <x v="94"/>
    <x v="6"/>
    <s v="US Equities"/>
    <x v="1"/>
    <n v="453.31"/>
    <n v="452.55"/>
    <n v="20"/>
    <n v="453.81"/>
    <n v="451.79"/>
    <n v="9.1"/>
    <n v="6.0999999999998185"/>
    <n v="19.100000000000001"/>
    <n v="0.31937172774868156"/>
    <x v="1"/>
    <s v="Supply zone rejection"/>
    <x v="1"/>
    <n v="1"/>
    <s v="2024-08-14"/>
    <x v="0"/>
    <x v="7"/>
    <n v="8"/>
    <s v="Q3"/>
  </r>
  <r>
    <x v="95"/>
    <x v="11"/>
    <s v="US Equities"/>
    <x v="1"/>
    <n v="246.37"/>
    <n v="246.73"/>
    <n v="15"/>
    <n v="246.84"/>
    <n v="245.39"/>
    <n v="10.27"/>
    <n v="-15.669999999999778"/>
    <n v="17.319999999999983"/>
    <n v="-0.90473441108543839"/>
    <x v="6"/>
    <s v="Clean breakout above resistance"/>
    <x v="0"/>
    <n v="0"/>
    <s v="2024-08-15"/>
    <x v="0"/>
    <x v="7"/>
    <n v="8"/>
    <s v="Q3"/>
  </r>
  <r>
    <x v="96"/>
    <x v="18"/>
    <s v="Crypto"/>
    <x v="1"/>
    <n v="435.2928"/>
    <n v="439.33249999999998"/>
    <n v="5"/>
    <n v="442.86250000000001"/>
    <n v="411.4529"/>
    <n v="29.19"/>
    <n v="-49.388499999999908"/>
    <n v="67.038500000000056"/>
    <n v="-0.73671845282934234"/>
    <x v="7"/>
    <s v="Fed speech volatility"/>
    <x v="0"/>
    <n v="0"/>
    <s v="2024-08-16"/>
    <x v="0"/>
    <x v="7"/>
    <n v="8"/>
    <s v="Q3"/>
  </r>
  <r>
    <x v="97"/>
    <x v="9"/>
    <s v="Forex"/>
    <x v="0"/>
    <n v="1.2313000000000001"/>
    <n v="1.2311000000000001"/>
    <n v="25000"/>
    <n v="1.2299"/>
    <n v="1.2354000000000001"/>
    <n v="34.020000000000003"/>
    <n v="-39.019999999999456"/>
    <n v="69.020000000001701"/>
    <n v="-0.56534337873078089"/>
    <x v="6"/>
    <s v="RSI oversold bounce"/>
    <x v="0"/>
    <n v="0"/>
    <s v="2024-08-19"/>
    <x v="0"/>
    <x v="7"/>
    <n v="8"/>
    <s v="Q3"/>
  </r>
  <r>
    <x v="98"/>
    <x v="5"/>
    <s v="Forex"/>
    <x v="0"/>
    <n v="143.17349999999999"/>
    <n v="143.29310000000001"/>
    <n v="20000"/>
    <n v="143.0866"/>
    <n v="143.434"/>
    <n v="16.43"/>
    <n v="2375.570000000394"/>
    <n v="1754.4299999997154"/>
    <n v="1.3540409135735136"/>
    <x v="2"/>
    <s v="Strong volume confirmation"/>
    <x v="1"/>
    <n v="1"/>
    <s v="2024-08-22"/>
    <x v="0"/>
    <x v="7"/>
    <n v="8"/>
    <s v="Q3"/>
  </r>
  <r>
    <x v="99"/>
    <x v="5"/>
    <s v="Forex"/>
    <x v="0"/>
    <n v="140.30029999999999"/>
    <n v="140.21530000000001"/>
    <n v="20000"/>
    <n v="140.1942"/>
    <n v="140.65369999999999"/>
    <n v="6.9"/>
    <n v="-1706.8999999995908"/>
    <n v="2128.8999999999573"/>
    <n v="-0.80177556484551882"/>
    <x v="1"/>
    <s v="Sector rotation play"/>
    <x v="0"/>
    <n v="0"/>
    <s v="2024-08-26"/>
    <x v="0"/>
    <x v="7"/>
    <n v="8"/>
    <s v="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6186E-C55A-481D-BEEF-84E1E797794A}" name="Win/Los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adeStatus">
  <location ref="D2:E5" firstHeaderRow="1" firstDataRow="1" firstDataCol="1"/>
  <pivotFields count="24">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21">
        <item x="2"/>
        <item x="8"/>
        <item x="17"/>
        <item x="18"/>
        <item x="7"/>
        <item x="3"/>
        <item x="19"/>
        <item x="13"/>
        <item x="9"/>
        <item x="15"/>
        <item x="14"/>
        <item x="0"/>
        <item x="1"/>
        <item x="12"/>
        <item x="16"/>
        <item x="6"/>
        <item x="11"/>
        <item x="10"/>
        <item x="5"/>
        <item x="4"/>
        <item t="default"/>
      </items>
    </pivotField>
    <pivotField showAll="0"/>
    <pivotField showAll="0">
      <items count="3">
        <item x="0"/>
        <item x="1"/>
        <item t="default"/>
      </items>
    </pivotField>
    <pivotField showAll="0"/>
    <pivotField showAll="0"/>
    <pivotField showAll="0"/>
    <pivotField showAll="0"/>
    <pivotField showAll="0"/>
    <pivotField showAll="0"/>
    <pivotField numFmtId="164" showAll="0"/>
    <pivotField showAll="0"/>
    <pivotField showAll="0"/>
    <pivotField showAll="0"/>
    <pivotField showAll="0"/>
    <pivotField axis="axisRow" dataField="1" showAll="0">
      <items count="3">
        <item x="0"/>
        <item x="1"/>
        <item t="default"/>
      </items>
    </pivotField>
    <pivotField showAll="0"/>
    <pivotField showAll="0"/>
    <pivotField showAll="0">
      <items count="2">
        <item x="0"/>
        <item t="default"/>
      </items>
    </pivotField>
    <pivotField showAll="0">
      <items count="9">
        <item x="0"/>
        <item x="1"/>
        <item x="2"/>
        <item x="3"/>
        <item x="4"/>
        <item x="5"/>
        <item x="6"/>
        <item x="7"/>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3">
    <i>
      <x/>
    </i>
    <i>
      <x v="1"/>
    </i>
    <i t="grand">
      <x/>
    </i>
  </rowItems>
  <colItems count="1">
    <i/>
  </colItems>
  <dataFields count="1">
    <dataField name="Count" fld="15" subtotal="count" baseField="15"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340B8-E117-4CE9-83DB-881BCFF91450}" name="Strateg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rategy">
  <location ref="G2:H6" firstHeaderRow="1" firstDataRow="1" firstDataCol="1"/>
  <pivotFields count="24">
    <pivotField numFmtId="168"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21">
        <item x="2"/>
        <item x="8"/>
        <item x="17"/>
        <item x="18"/>
        <item x="7"/>
        <item x="3"/>
        <item x="19"/>
        <item x="13"/>
        <item x="9"/>
        <item x="15"/>
        <item x="14"/>
        <item x="0"/>
        <item x="1"/>
        <item x="12"/>
        <item x="16"/>
        <item x="6"/>
        <item x="11"/>
        <item x="10"/>
        <item x="5"/>
        <item x="4"/>
        <item t="default"/>
      </items>
    </pivotField>
    <pivotField showAll="0"/>
    <pivotField showAll="0">
      <items count="3">
        <item x="0"/>
        <item x="1"/>
        <item t="default"/>
      </items>
    </pivotField>
    <pivotField showAll="0"/>
    <pivotField showAll="0"/>
    <pivotField showAll="0"/>
    <pivotField showAll="0"/>
    <pivotField showAll="0"/>
    <pivotField showAll="0"/>
    <pivotField dataField="1" numFmtId="164" showAll="0"/>
    <pivotField showAll="0"/>
    <pivotField showAll="0"/>
    <pivotField axis="axisRow" showAll="0" measureFilter="1" sortType="descending">
      <items count="11">
        <item x="3"/>
        <item x="5"/>
        <item x="8"/>
        <item x="1"/>
        <item x="7"/>
        <item x="2"/>
        <item x="0"/>
        <item x="6"/>
        <item x="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
        <item x="0"/>
        <item t="default"/>
      </items>
    </pivotField>
    <pivotField showAll="0">
      <items count="9">
        <item x="0"/>
        <item x="1"/>
        <item x="2"/>
        <item x="3"/>
        <item x="4"/>
        <item x="5"/>
        <item x="6"/>
        <item x="7"/>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4">
    <i>
      <x v="1"/>
    </i>
    <i>
      <x v="5"/>
    </i>
    <i>
      <x v="4"/>
    </i>
    <i t="grand">
      <x/>
    </i>
  </rowItems>
  <colItems count="1">
    <i/>
  </colItems>
  <dataFields count="1">
    <dataField name="Sum of PnL" fld="10" baseField="0" baseItem="0" numFmtId="164"/>
  </dataField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3" count="1" selected="0">
            <x v="5"/>
          </reference>
        </references>
      </pivotArea>
    </chartFormat>
    <chartFormat chart="10" format="4">
      <pivotArea type="data" outline="0" fieldPosition="0">
        <references count="2">
          <reference field="4294967294" count="1" selected="0">
            <x v="0"/>
          </reference>
          <reference field="13" count="1" selected="0">
            <x v="1"/>
          </reference>
        </references>
      </pivotArea>
    </chartFormat>
    <chartFormat chart="1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EDCF1-2164-454F-9AD1-48DA4556CAB9}" name="Pnl"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A1:B102" firstHeaderRow="1" firstDataRow="1" firstDataCol="1"/>
  <pivotFields count="24">
    <pivotField numFmtId="168"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21">
        <item x="2"/>
        <item x="8"/>
        <item x="17"/>
        <item x="18"/>
        <item x="7"/>
        <item x="3"/>
        <item x="19"/>
        <item x="13"/>
        <item x="9"/>
        <item x="15"/>
        <item x="14"/>
        <item x="0"/>
        <item x="1"/>
        <item x="12"/>
        <item x="16"/>
        <item x="6"/>
        <item x="11"/>
        <item x="10"/>
        <item x="5"/>
        <item x="4"/>
        <item t="default"/>
      </items>
    </pivotField>
    <pivotField showAll="0"/>
    <pivotField showAll="0">
      <items count="3">
        <item x="0"/>
        <item x="1"/>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items count="2">
        <item x="0"/>
        <item t="default"/>
      </items>
    </pivotField>
    <pivotField showAll="0">
      <items count="9">
        <item x="0"/>
        <item x="1"/>
        <item x="2"/>
        <item x="3"/>
        <item x="4"/>
        <item x="5"/>
        <item x="6"/>
        <item x="7"/>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x="0"/>
        <item x="1"/>
        <item x="2"/>
        <item x="3"/>
        <item x="4"/>
        <item x="5"/>
        <item x="6"/>
        <item x="7"/>
        <item x="8"/>
        <item x="9"/>
        <item x="10"/>
        <item x="11"/>
        <item x="12"/>
        <item x="13"/>
        <item t="default"/>
      </items>
    </pivotField>
  </pivotFields>
  <rowFields count="2">
    <field x="22"/>
    <field x="23"/>
  </rowFields>
  <rowItems count="101">
    <i>
      <x v="2"/>
    </i>
    <i>
      <x v="3"/>
    </i>
    <i>
      <x v="5"/>
    </i>
    <i>
      <x v="8"/>
    </i>
    <i>
      <x v="10"/>
    </i>
    <i>
      <x v="12"/>
    </i>
    <i>
      <x v="15"/>
    </i>
    <i>
      <x v="16"/>
    </i>
    <i>
      <x v="18"/>
    </i>
    <i>
      <x v="19"/>
    </i>
    <i>
      <x v="22"/>
    </i>
    <i>
      <x v="24"/>
    </i>
    <i>
      <x v="29"/>
    </i>
    <i>
      <x v="32"/>
    </i>
    <i>
      <x v="33"/>
    </i>
    <i>
      <x v="36"/>
    </i>
    <i>
      <x v="39"/>
    </i>
    <i>
      <x v="40"/>
    </i>
    <i>
      <x v="43"/>
    </i>
    <i>
      <x v="46"/>
    </i>
    <i>
      <x v="47"/>
    </i>
    <i>
      <x v="50"/>
    </i>
    <i>
      <x v="52"/>
    </i>
    <i>
      <x v="53"/>
    </i>
    <i>
      <x v="54"/>
    </i>
    <i>
      <x v="57"/>
    </i>
    <i>
      <x v="58"/>
    </i>
    <i>
      <x v="59"/>
    </i>
    <i>
      <x v="64"/>
    </i>
    <i>
      <x v="65"/>
    </i>
    <i>
      <x v="66"/>
    </i>
    <i>
      <x v="67"/>
    </i>
    <i>
      <x v="71"/>
    </i>
    <i>
      <x v="72"/>
    </i>
    <i>
      <x v="74"/>
    </i>
    <i>
      <x v="75"/>
    </i>
    <i>
      <x v="78"/>
    </i>
    <i>
      <x v="81"/>
    </i>
    <i>
      <x v="85"/>
    </i>
    <i>
      <x v="88"/>
    </i>
    <i>
      <x v="89"/>
    </i>
    <i>
      <x v="92"/>
    </i>
    <i>
      <x v="95"/>
    </i>
    <i>
      <x v="96"/>
    </i>
    <i>
      <x v="99"/>
    </i>
    <i>
      <x v="101"/>
    </i>
    <i>
      <x v="103"/>
    </i>
    <i>
      <x v="106"/>
    </i>
    <i>
      <x v="108"/>
    </i>
    <i>
      <x v="113"/>
    </i>
    <i>
      <x v="116"/>
    </i>
    <i>
      <x v="120"/>
    </i>
    <i>
      <x v="122"/>
    </i>
    <i>
      <x v="124"/>
    </i>
    <i>
      <x v="127"/>
    </i>
    <i>
      <x v="130"/>
    </i>
    <i>
      <x v="134"/>
    </i>
    <i>
      <x v="137"/>
    </i>
    <i>
      <x v="141"/>
    </i>
    <i>
      <x v="143"/>
    </i>
    <i>
      <x v="148"/>
    </i>
    <i>
      <x v="151"/>
    </i>
    <i>
      <x v="155"/>
    </i>
    <i>
      <x v="157"/>
    </i>
    <i>
      <x v="162"/>
    </i>
    <i>
      <x v="163"/>
    </i>
    <i>
      <x v="164"/>
    </i>
    <i>
      <x v="165"/>
    </i>
    <i>
      <x v="166"/>
    </i>
    <i>
      <x v="169"/>
    </i>
    <i>
      <x v="172"/>
    </i>
    <i>
      <x v="176"/>
    </i>
    <i>
      <x v="177"/>
    </i>
    <i>
      <x v="180"/>
    </i>
    <i>
      <x v="183"/>
    </i>
    <i>
      <x v="185"/>
    </i>
    <i>
      <x v="187"/>
    </i>
    <i>
      <x v="190"/>
    </i>
    <i>
      <x v="191"/>
    </i>
    <i>
      <x v="194"/>
    </i>
    <i>
      <x v="197"/>
    </i>
    <i>
      <x v="199"/>
    </i>
    <i>
      <x v="201"/>
    </i>
    <i>
      <x v="204"/>
    </i>
    <i>
      <x v="205"/>
    </i>
    <i>
      <x v="206"/>
    </i>
    <i>
      <x v="207"/>
    </i>
    <i>
      <x v="211"/>
    </i>
    <i>
      <x v="213"/>
    </i>
    <i>
      <x v="215"/>
    </i>
    <i>
      <x v="218"/>
    </i>
    <i>
      <x v="220"/>
    </i>
    <i>
      <x v="222"/>
    </i>
    <i>
      <x v="225"/>
    </i>
    <i>
      <x v="227"/>
    </i>
    <i>
      <x v="228"/>
    </i>
    <i>
      <x v="229"/>
    </i>
    <i>
      <x v="232"/>
    </i>
    <i>
      <x v="235"/>
    </i>
    <i>
      <x v="239"/>
    </i>
    <i t="grand">
      <x/>
    </i>
  </rowItems>
  <colItems count="1">
    <i/>
  </colItems>
  <dataFields count="1">
    <dataField name="Sum of PnL" fld="10" baseField="23" baseItem="1" numFmtId="164"/>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EC5878DE-D808-4EB9-B3C0-F8AC29344DAD}" sourceName="Direction">
  <pivotTables>
    <pivotTable tabId="5" name="Pnl"/>
    <pivotTable tabId="5" name="Strategy"/>
    <pivotTable tabId="5" name="Win/Loss"/>
  </pivotTables>
  <data>
    <tabular pivotCacheId="2556370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FFB53394-F807-4F1E-9DE1-6CA6FE26B250}" sourceName="Symbol">
  <pivotTables>
    <pivotTable tabId="5" name="Pnl"/>
    <pivotTable tabId="5" name="Strategy"/>
    <pivotTable tabId="5" name="Win/Loss"/>
  </pivotTables>
  <data>
    <tabular pivotCacheId="255637092">
      <items count="20">
        <i x="2" s="1"/>
        <i x="8" s="1"/>
        <i x="17" s="1"/>
        <i x="18" s="1"/>
        <i x="7" s="1"/>
        <i x="3" s="1"/>
        <i x="19" s="1"/>
        <i x="13" s="1"/>
        <i x="9" s="1"/>
        <i x="15" s="1"/>
        <i x="14" s="1"/>
        <i x="0" s="1"/>
        <i x="1" s="1"/>
        <i x="12" s="1"/>
        <i x="16" s="1"/>
        <i x="6" s="1"/>
        <i x="11" s="1"/>
        <i x="1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D07373-26E2-49FB-A904-05234232BB11}" sourceName="Year">
  <pivotTables>
    <pivotTable tabId="5" name="Pnl"/>
    <pivotTable tabId="5" name="Win/Loss"/>
    <pivotTable tabId="5" name="Strategy"/>
  </pivotTables>
  <data>
    <tabular pivotCacheId="255637092">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20C22E-6F6B-4FA8-8032-93263C2DC882}" sourceName="Month">
  <pivotTables>
    <pivotTable tabId="5" name="Pnl"/>
    <pivotTable tabId="5" name="Strategy"/>
    <pivotTable tabId="5" name="Win/Loss"/>
  </pivotTables>
  <data>
    <tabular pivotCacheId="255637092">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ion" xr10:uid="{4CB731C0-733A-4B61-A79D-8E860067C218}" cache="Slicer_Direction" caption="Direction" style="SlicerStyleDark5 2" rowHeight="234950"/>
  <slicer name="Symbol" xr10:uid="{260E9341-B8AB-479F-90A9-4CFE97278682}" cache="Slicer_Symbol" caption="Symbol" style="SlicerStyleDark5 2" rowHeight="234950"/>
  <slicer name="Year" xr10:uid="{1CF49040-823C-4486-9CB2-3B6EBA2A0E98}" cache="Slicer_Year" caption="Year" style="SlicerStyleDark5 2" rowHeight="234950"/>
  <slicer name="Month" xr10:uid="{AE2599AF-F1F9-4DBF-93AC-10A08EB55062}" cache="Slicer_Month" caption="Month"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54610-7F2B-4D57-B21E-72898F28A2A5}" name="tbl_trade" displayName="tbl_trade" ref="A1:V101" totalsRowShown="0" headerRowDxfId="25" dataDxfId="24">
  <autoFilter ref="A1:V101" xr:uid="{D8D54610-7F2B-4D57-B21E-72898F28A2A5}"/>
  <tableColumns count="22">
    <tableColumn id="23" xr3:uid="{80780584-9746-473B-8505-A6A2BB1802FB}" name="Date" dataDxfId="23"/>
    <tableColumn id="2" xr3:uid="{6B577849-A2B4-409F-A9A1-C99897C81E71}" name="Symbol" dataDxfId="22"/>
    <tableColumn id="3" xr3:uid="{B2691ABB-C785-4D17-837A-566DAE102858}" name="Market" dataDxfId="21"/>
    <tableColumn id="4" xr3:uid="{4FD0F4E7-C483-49B9-9D5F-0489692E989C}" name="Direction" dataDxfId="20"/>
    <tableColumn id="5" xr3:uid="{41B97283-A9BD-480A-B203-8E9A175FE8DC}" name="Entry Price" dataDxfId="19"/>
    <tableColumn id="6" xr3:uid="{C83E3B7E-21D9-46AD-8186-17A9A88A460B}" name="Exit Price" dataDxfId="18"/>
    <tableColumn id="7" xr3:uid="{8327E387-8D10-4FE2-B752-A1BB365F5616}" name="Position Size" dataDxfId="17"/>
    <tableColumn id="8" xr3:uid="{09541F65-7CFF-46AC-B82E-730C8DEDCBF9}" name="Stop Loss" dataDxfId="16"/>
    <tableColumn id="9" xr3:uid="{D1BE73EC-DEC6-468A-BD4B-649FD2C6322C}" name="Take Profit" dataDxfId="15"/>
    <tableColumn id="10" xr3:uid="{6E62EF00-7B67-4192-B942-229A7FA95723}" name="Fees" dataDxfId="14"/>
    <tableColumn id="11" xr3:uid="{B98D9AE3-973E-4CD9-85C6-18908F1C7DFF}" name="PnL" dataDxfId="13"/>
    <tableColumn id="12" xr3:uid="{DB308F8A-6E98-4CBA-9A52-DD2CFED539B4}" name="Risk (R)" dataDxfId="12"/>
    <tableColumn id="13" xr3:uid="{BEC75695-F692-47A6-B938-131C1CF7D667}" name="RR Ratio" dataDxfId="11"/>
    <tableColumn id="14" xr3:uid="{0B265258-2651-433C-B833-1C946A64AB65}" name="Strategy" dataDxfId="10"/>
    <tableColumn id="15" xr3:uid="{1E70C394-8168-4493-A238-4D67309FB40D}" name="Notes" dataDxfId="9"/>
    <tableColumn id="16" xr3:uid="{77B7BA63-A655-4613-ADAF-DAE7DE220C70}" name="Trade Status" dataDxfId="8">
      <calculatedColumnFormula array="1">_xlfn.IFS(tbl_trade[[#This Row],[PnL]]&gt;0,"Win",tbl_trade[[#This Row],[PnL]]&lt;0,"Loss",TRUE,"BreakEven")</calculatedColumnFormula>
    </tableColumn>
    <tableColumn id="22" xr3:uid="{7B481735-C911-42AB-96FF-B2D3D63CA59D}" name="Win/Loss" dataDxfId="7">
      <calculatedColumnFormula>IF(tbl_trade[[#This Row],[PnL]]&gt;0,1,0)</calculatedColumnFormula>
    </tableColumn>
    <tableColumn id="17" xr3:uid="{D1B14F88-4D13-4E42-B688-EACD1894B561}" name="Trading Day" dataDxfId="6">
      <calculatedColumnFormula>TEXT(#REF!,"yyyy-mm-dd")</calculatedColumnFormula>
    </tableColumn>
    <tableColumn id="18" xr3:uid="{585AE9F4-FFD9-47E4-9815-2ACF508FF68A}" name="Year" dataDxfId="5">
      <calculatedColumnFormula>YEAR(#REF!)</calculatedColumnFormula>
    </tableColumn>
    <tableColumn id="19" xr3:uid="{FF23DE86-96DA-43CC-B6D6-687C7782DDEB}" name="Month" dataDxfId="4">
      <calculatedColumnFormula>TEXT(#REF!,"mmm")</calculatedColumnFormula>
    </tableColumn>
    <tableColumn id="20" xr3:uid="{6BE3BE1B-E92F-4575-A675-91584DE51921}" name="Month No" dataDxfId="3">
      <calculatedColumnFormula>MONTH(#REF!)</calculatedColumnFormula>
    </tableColumn>
    <tableColumn id="21" xr3:uid="{3868F902-5BAA-4CA5-8FAB-10914A41EF5F}" name="Quarter" dataDxfId="2">
      <calculatedColumnFormula>"Q"&amp;ROUNDUP(MONTH(#REF!)/3,0)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V101"/>
  <sheetViews>
    <sheetView workbookViewId="0">
      <selection activeCell="X8" sqref="X8"/>
    </sheetView>
  </sheetViews>
  <sheetFormatPr defaultRowHeight="14.4" x14ac:dyDescent="0.3"/>
  <cols>
    <col min="1" max="1" width="21.77734375" style="18" customWidth="1"/>
    <col min="2" max="2" width="12.21875" style="1" customWidth="1"/>
    <col min="3" max="3" width="16.6640625" style="1" customWidth="1"/>
    <col min="4" max="4" width="11" style="1" customWidth="1"/>
    <col min="5" max="5" width="13" style="1" customWidth="1"/>
    <col min="6" max="6" width="12" style="1" customWidth="1"/>
    <col min="7" max="7" width="15" style="1" customWidth="1"/>
    <col min="8" max="8" width="11" style="1" customWidth="1"/>
    <col min="9" max="9" width="18" style="1" customWidth="1"/>
    <col min="10" max="10" width="15.33203125" style="1" customWidth="1"/>
    <col min="11" max="11" width="16.109375" style="2" customWidth="1"/>
    <col min="12" max="12" width="17.5546875" style="1" customWidth="1"/>
    <col min="13" max="13" width="25" style="1" customWidth="1"/>
    <col min="14" max="14" width="20.44140625" style="1" customWidth="1"/>
    <col min="15" max="15" width="29.33203125" style="1" customWidth="1"/>
    <col min="16" max="17" width="26.44140625" hidden="1" customWidth="1"/>
    <col min="18" max="18" width="24.88671875" hidden="1" customWidth="1"/>
    <col min="19" max="19" width="11" hidden="1" customWidth="1"/>
    <col min="20" max="20" width="10.21875" hidden="1" customWidth="1"/>
    <col min="21" max="21" width="0" hidden="1" customWidth="1"/>
    <col min="22" max="22" width="10.5546875" hidden="1" customWidth="1"/>
    <col min="24" max="24" width="14.44140625" customWidth="1"/>
  </cols>
  <sheetData>
    <row r="1" spans="1:22" x14ac:dyDescent="0.3">
      <c r="A1" s="17" t="s">
        <v>0</v>
      </c>
      <c r="B1" s="5" t="s">
        <v>1</v>
      </c>
      <c r="C1" s="5" t="s">
        <v>2</v>
      </c>
      <c r="D1" s="5" t="s">
        <v>3</v>
      </c>
      <c r="E1" s="5" t="s">
        <v>4</v>
      </c>
      <c r="F1" s="5" t="s">
        <v>5</v>
      </c>
      <c r="G1" s="5" t="s">
        <v>6</v>
      </c>
      <c r="H1" s="5" t="s">
        <v>7</v>
      </c>
      <c r="I1" s="5" t="s">
        <v>8</v>
      </c>
      <c r="J1" s="5" t="s">
        <v>9</v>
      </c>
      <c r="K1" s="6" t="s">
        <v>10</v>
      </c>
      <c r="L1" s="5" t="s">
        <v>11</v>
      </c>
      <c r="M1" s="5" t="s">
        <v>12</v>
      </c>
      <c r="N1" s="5" t="s">
        <v>13</v>
      </c>
      <c r="O1" s="5" t="s">
        <v>14</v>
      </c>
      <c r="P1" s="5" t="s">
        <v>93</v>
      </c>
      <c r="Q1" s="5" t="s">
        <v>103</v>
      </c>
      <c r="R1" s="5" t="s">
        <v>94</v>
      </c>
      <c r="S1" s="5" t="s">
        <v>99</v>
      </c>
      <c r="T1" s="5" t="s">
        <v>100</v>
      </c>
      <c r="U1" s="5" t="s">
        <v>101</v>
      </c>
      <c r="V1" s="5" t="s">
        <v>102</v>
      </c>
    </row>
    <row r="2" spans="1:22" x14ac:dyDescent="0.3">
      <c r="A2" s="18">
        <v>45293</v>
      </c>
      <c r="B2" s="1" t="s">
        <v>24</v>
      </c>
      <c r="C2" s="1" t="s">
        <v>25</v>
      </c>
      <c r="D2" s="1" t="s">
        <v>26</v>
      </c>
      <c r="E2" s="1">
        <v>367.86</v>
      </c>
      <c r="F2" s="1">
        <v>367.1</v>
      </c>
      <c r="G2" s="1">
        <v>15</v>
      </c>
      <c r="H2" s="1">
        <v>367.04</v>
      </c>
      <c r="I2" s="1">
        <v>370.55</v>
      </c>
      <c r="J2" s="1">
        <v>17.66</v>
      </c>
      <c r="K2" s="2">
        <v>-29.059999999999864</v>
      </c>
      <c r="L2" s="1">
        <v>29.959999999999898</v>
      </c>
      <c r="M2" s="1">
        <v>-0.96995994659545937</v>
      </c>
      <c r="N2" s="1" t="s">
        <v>27</v>
      </c>
      <c r="O2" s="1" t="s">
        <v>28</v>
      </c>
      <c r="P2" s="1" t="str" cm="1">
        <f t="array" ref="P2">_xlfn.IFS(tbl_trade[[#This Row],[PnL]]&gt;0,"Win",tbl_trade[[#This Row],[PnL]]&lt;0,"Loss",TRUE,"BreakEven")</f>
        <v>Loss</v>
      </c>
      <c r="Q2" s="1">
        <f>IF(tbl_trade[[#This Row],[PnL]]&gt;0,1,0)</f>
        <v>0</v>
      </c>
      <c r="R2" s="1" t="str">
        <f>TEXT(tbl_trade[[#This Row],[Date]],"yyyy-mm-dd")</f>
        <v>2024-01-02</v>
      </c>
      <c r="S2" s="1">
        <f>YEAR(tbl_trade[[#This Row],[Date]])</f>
        <v>2024</v>
      </c>
      <c r="T2" s="1" t="str">
        <f>TEXT(tbl_trade[[#This Row],[Date]],"mmm")</f>
        <v>Jan</v>
      </c>
      <c r="U2" s="1">
        <f>MONTH(tbl_trade[[#This Row],[Date]])</f>
        <v>1</v>
      </c>
      <c r="V2" s="1" t="str">
        <f>"Q"&amp;ROUNDUP(MONTH(tbl_trade[[#This Row],[Date]])/3,0)</f>
        <v>Q1</v>
      </c>
    </row>
    <row r="3" spans="1:22" x14ac:dyDescent="0.3">
      <c r="A3" s="18">
        <v>45294</v>
      </c>
      <c r="B3" s="1" t="s">
        <v>29</v>
      </c>
      <c r="C3" s="1" t="s">
        <v>25</v>
      </c>
      <c r="D3" s="1" t="s">
        <v>26</v>
      </c>
      <c r="E3" s="1">
        <v>550.5</v>
      </c>
      <c r="F3" s="1">
        <v>552.96</v>
      </c>
      <c r="G3" s="1">
        <v>10</v>
      </c>
      <c r="H3" s="1">
        <v>549.04</v>
      </c>
      <c r="I3" s="1">
        <v>554.74</v>
      </c>
      <c r="J3" s="1">
        <v>18.48</v>
      </c>
      <c r="K3" s="2">
        <v>6.1200000000003634</v>
      </c>
      <c r="L3" s="1">
        <v>33.080000000000368</v>
      </c>
      <c r="M3" s="1">
        <v>0.18500604594922296</v>
      </c>
      <c r="N3" s="1" t="s">
        <v>30</v>
      </c>
      <c r="O3" s="1" t="s">
        <v>31</v>
      </c>
      <c r="P3" s="1" t="str" cm="1">
        <f t="array" ref="P3">_xlfn.IFS(tbl_trade[[#This Row],[PnL]]&gt;0,"Win",tbl_trade[[#This Row],[PnL]]&lt;0,"Loss",TRUE,"BreakEven")</f>
        <v>Win</v>
      </c>
      <c r="Q3" s="1">
        <f>IF(tbl_trade[[#This Row],[PnL]]&gt;0,1,0)</f>
        <v>1</v>
      </c>
      <c r="R3" s="1" t="str">
        <f>TEXT(tbl_trade[[#This Row],[Date]],"yyyy-mm-dd")</f>
        <v>2024-01-03</v>
      </c>
      <c r="S3" s="1">
        <f>YEAR(tbl_trade[[#This Row],[Date]])</f>
        <v>2024</v>
      </c>
      <c r="T3" s="1" t="str">
        <f>TEXT(tbl_trade[[#This Row],[Date]],"mmm")</f>
        <v>Jan</v>
      </c>
      <c r="U3" s="1">
        <f>MONTH(tbl_trade[[#This Row],[Date]])</f>
        <v>1</v>
      </c>
      <c r="V3" s="1" t="str">
        <f>"Q"&amp;ROUNDUP(MONTH(tbl_trade[[#This Row],[Date]])/3,0)</f>
        <v>Q1</v>
      </c>
    </row>
    <row r="4" spans="1:22" x14ac:dyDescent="0.3">
      <c r="A4" s="18">
        <v>45296</v>
      </c>
      <c r="B4" s="1" t="s">
        <v>32</v>
      </c>
      <c r="C4" s="1" t="s">
        <v>25</v>
      </c>
      <c r="D4" s="1" t="s">
        <v>26</v>
      </c>
      <c r="E4" s="1">
        <v>163.89</v>
      </c>
      <c r="F4" s="1">
        <v>164.61</v>
      </c>
      <c r="G4" s="1">
        <v>20</v>
      </c>
      <c r="H4" s="1">
        <v>163.26</v>
      </c>
      <c r="I4" s="1">
        <v>164.96</v>
      </c>
      <c r="J4" s="1">
        <v>15.77</v>
      </c>
      <c r="K4" s="2">
        <v>-1.3699999999994539</v>
      </c>
      <c r="L4" s="1">
        <v>28.369999999999909</v>
      </c>
      <c r="M4" s="1">
        <v>-4.8290447655955526E-2</v>
      </c>
      <c r="N4" s="1" t="s">
        <v>33</v>
      </c>
      <c r="O4" s="1" t="s">
        <v>34</v>
      </c>
      <c r="P4" s="1" t="str" cm="1">
        <f t="array" ref="P4">_xlfn.IFS(tbl_trade[[#This Row],[PnL]]&gt;0,"Win",tbl_trade[[#This Row],[PnL]]&lt;0,"Loss",TRUE,"BreakEven")</f>
        <v>Loss</v>
      </c>
      <c r="Q4" s="1">
        <f>IF(tbl_trade[[#This Row],[PnL]]&gt;0,1,0)</f>
        <v>0</v>
      </c>
      <c r="R4" s="1" t="str">
        <f>TEXT(tbl_trade[[#This Row],[Date]],"yyyy-mm-dd")</f>
        <v>2024-01-05</v>
      </c>
      <c r="S4" s="1">
        <f>YEAR(tbl_trade[[#This Row],[Date]])</f>
        <v>2024</v>
      </c>
      <c r="T4" s="1" t="str">
        <f>TEXT(tbl_trade[[#This Row],[Date]],"mmm")</f>
        <v>Jan</v>
      </c>
      <c r="U4" s="1">
        <f>MONTH(tbl_trade[[#This Row],[Date]])</f>
        <v>1</v>
      </c>
      <c r="V4" s="1" t="str">
        <f>"Q"&amp;ROUNDUP(MONTH(tbl_trade[[#This Row],[Date]])/3,0)</f>
        <v>Q1</v>
      </c>
    </row>
    <row r="5" spans="1:22" x14ac:dyDescent="0.3">
      <c r="A5" s="18">
        <v>45299</v>
      </c>
      <c r="B5" s="1" t="s">
        <v>35</v>
      </c>
      <c r="C5" s="1" t="s">
        <v>36</v>
      </c>
      <c r="D5" s="1" t="s">
        <v>37</v>
      </c>
      <c r="E5" s="1">
        <v>0.1205</v>
      </c>
      <c r="F5" s="1">
        <v>0.1105</v>
      </c>
      <c r="G5" s="1">
        <v>10000</v>
      </c>
      <c r="H5" s="1">
        <v>0.12759999999999999</v>
      </c>
      <c r="I5" s="1">
        <v>0.1087</v>
      </c>
      <c r="J5" s="1">
        <v>23.86</v>
      </c>
      <c r="K5" s="2">
        <v>76.139999999999944</v>
      </c>
      <c r="L5" s="1">
        <v>94.859999999999957</v>
      </c>
      <c r="M5" s="1">
        <v>0.80265654648956331</v>
      </c>
      <c r="N5" s="1" t="s">
        <v>16</v>
      </c>
      <c r="O5" s="1" t="s">
        <v>38</v>
      </c>
      <c r="P5" s="1" t="str" cm="1">
        <f t="array" ref="P5">_xlfn.IFS(tbl_trade[[#This Row],[PnL]]&gt;0,"Win",tbl_trade[[#This Row],[PnL]]&lt;0,"Loss",TRUE,"BreakEven")</f>
        <v>Win</v>
      </c>
      <c r="Q5" s="1">
        <f>IF(tbl_trade[[#This Row],[PnL]]&gt;0,1,0)</f>
        <v>1</v>
      </c>
      <c r="R5" s="1" t="str">
        <f>TEXT(tbl_trade[[#This Row],[Date]],"yyyy-mm-dd")</f>
        <v>2024-01-08</v>
      </c>
      <c r="S5" s="1">
        <f>YEAR(tbl_trade[[#This Row],[Date]])</f>
        <v>2024</v>
      </c>
      <c r="T5" s="1" t="str">
        <f>TEXT(tbl_trade[[#This Row],[Date]],"mmm")</f>
        <v>Jan</v>
      </c>
      <c r="U5" s="1">
        <f>MONTH(tbl_trade[[#This Row],[Date]])</f>
        <v>1</v>
      </c>
      <c r="V5" s="1" t="str">
        <f>"Q"&amp;ROUNDUP(MONTH(tbl_trade[[#This Row],[Date]])/3,0)</f>
        <v>Q1</v>
      </c>
    </row>
    <row r="6" spans="1:22" x14ac:dyDescent="0.3">
      <c r="A6" s="18">
        <v>45301</v>
      </c>
      <c r="B6" s="1" t="s">
        <v>39</v>
      </c>
      <c r="C6" s="1" t="s">
        <v>36</v>
      </c>
      <c r="D6" s="1" t="s">
        <v>26</v>
      </c>
      <c r="E6" s="1">
        <v>0.61529999999999996</v>
      </c>
      <c r="F6" s="1">
        <v>0.60880000000000001</v>
      </c>
      <c r="G6" s="1">
        <v>5000</v>
      </c>
      <c r="H6" s="1">
        <v>0.58560000000000001</v>
      </c>
      <c r="I6" s="1">
        <v>0.7107</v>
      </c>
      <c r="J6" s="1">
        <v>16.399999999999999</v>
      </c>
      <c r="K6" s="2">
        <v>-48.89999999999975</v>
      </c>
      <c r="L6" s="1">
        <v>164.89999999999975</v>
      </c>
      <c r="M6" s="1">
        <v>-0.29654335961188494</v>
      </c>
      <c r="N6" s="1" t="s">
        <v>40</v>
      </c>
      <c r="O6" s="1" t="s">
        <v>41</v>
      </c>
      <c r="P6" s="1" t="str" cm="1">
        <f t="array" ref="P6">_xlfn.IFS(tbl_trade[[#This Row],[PnL]]&gt;0,"Win",tbl_trade[[#This Row],[PnL]]&lt;0,"Loss",TRUE,"BreakEven")</f>
        <v>Loss</v>
      </c>
      <c r="Q6" s="1">
        <f>IF(tbl_trade[[#This Row],[PnL]]&gt;0,1,0)</f>
        <v>0</v>
      </c>
      <c r="R6" s="1" t="str">
        <f>TEXT(tbl_trade[[#This Row],[Date]],"yyyy-mm-dd")</f>
        <v>2024-01-10</v>
      </c>
      <c r="S6" s="1">
        <f>YEAR(tbl_trade[[#This Row],[Date]])</f>
        <v>2024</v>
      </c>
      <c r="T6" s="1" t="str">
        <f>TEXT(tbl_trade[[#This Row],[Date]],"mmm")</f>
        <v>Jan</v>
      </c>
      <c r="U6" s="1">
        <f>MONTH(tbl_trade[[#This Row],[Date]])</f>
        <v>1</v>
      </c>
      <c r="V6" s="1" t="str">
        <f>"Q"&amp;ROUNDUP(MONTH(tbl_trade[[#This Row],[Date]])/3,0)</f>
        <v>Q1</v>
      </c>
    </row>
    <row r="7" spans="1:22" x14ac:dyDescent="0.3">
      <c r="A7" s="18">
        <v>45303</v>
      </c>
      <c r="B7" s="1" t="s">
        <v>42</v>
      </c>
      <c r="C7" s="1" t="s">
        <v>15</v>
      </c>
      <c r="D7" s="1" t="s">
        <v>26</v>
      </c>
      <c r="E7" s="1">
        <v>142.51410000000001</v>
      </c>
      <c r="F7" s="1">
        <v>142.8038</v>
      </c>
      <c r="G7" s="1">
        <v>20000</v>
      </c>
      <c r="H7" s="1">
        <v>142.37039999999999</v>
      </c>
      <c r="I7" s="1">
        <v>142.91589999999999</v>
      </c>
      <c r="J7" s="1">
        <v>10.130000000000001</v>
      </c>
      <c r="K7" s="2">
        <v>5783.8699999996415</v>
      </c>
      <c r="L7" s="1">
        <v>2884.1300000004785</v>
      </c>
      <c r="M7" s="1">
        <v>2.0054123773889119</v>
      </c>
      <c r="N7" s="1" t="s">
        <v>43</v>
      </c>
      <c r="O7" s="1" t="s">
        <v>44</v>
      </c>
      <c r="P7" s="1" t="str" cm="1">
        <f t="array" ref="P7">_xlfn.IFS(tbl_trade[[#This Row],[PnL]]&gt;0,"Win",tbl_trade[[#This Row],[PnL]]&lt;0,"Loss",TRUE,"BreakEven")</f>
        <v>Win</v>
      </c>
      <c r="Q7" s="1">
        <f>IF(tbl_trade[[#This Row],[PnL]]&gt;0,1,0)</f>
        <v>1</v>
      </c>
      <c r="R7" s="1" t="str">
        <f>TEXT(tbl_trade[[#This Row],[Date]],"yyyy-mm-dd")</f>
        <v>2024-01-12</v>
      </c>
      <c r="S7" s="1">
        <f>YEAR(tbl_trade[[#This Row],[Date]])</f>
        <v>2024</v>
      </c>
      <c r="T7" s="1" t="str">
        <f>TEXT(tbl_trade[[#This Row],[Date]],"mmm")</f>
        <v>Jan</v>
      </c>
      <c r="U7" s="1">
        <f>MONTH(tbl_trade[[#This Row],[Date]])</f>
        <v>1</v>
      </c>
      <c r="V7" s="1" t="str">
        <f>"Q"&amp;ROUNDUP(MONTH(tbl_trade[[#This Row],[Date]])/3,0)</f>
        <v>Q1</v>
      </c>
    </row>
    <row r="8" spans="1:22" x14ac:dyDescent="0.3">
      <c r="A8" s="18">
        <v>45306</v>
      </c>
      <c r="B8" s="1" t="s">
        <v>45</v>
      </c>
      <c r="C8" s="1" t="s">
        <v>25</v>
      </c>
      <c r="D8" s="1" t="s">
        <v>26</v>
      </c>
      <c r="E8" s="1">
        <v>458.9</v>
      </c>
      <c r="F8" s="1">
        <v>458.56</v>
      </c>
      <c r="G8" s="1">
        <v>20</v>
      </c>
      <c r="H8" s="1">
        <v>458.42</v>
      </c>
      <c r="I8" s="1">
        <v>459.83</v>
      </c>
      <c r="J8" s="1">
        <v>28.05</v>
      </c>
      <c r="K8" s="2">
        <v>-34.849999999999497</v>
      </c>
      <c r="L8" s="1">
        <v>37.649999999999224</v>
      </c>
      <c r="M8" s="1">
        <v>-0.92563081009296722</v>
      </c>
      <c r="N8" s="1" t="s">
        <v>46</v>
      </c>
      <c r="O8" s="1" t="s">
        <v>47</v>
      </c>
      <c r="P8" s="1" t="str" cm="1">
        <f t="array" ref="P8">_xlfn.IFS(tbl_trade[[#This Row],[PnL]]&gt;0,"Win",tbl_trade[[#This Row],[PnL]]&lt;0,"Loss",TRUE,"BreakEven")</f>
        <v>Loss</v>
      </c>
      <c r="Q8" s="1">
        <f>IF(tbl_trade[[#This Row],[PnL]]&gt;0,1,0)</f>
        <v>0</v>
      </c>
      <c r="R8" s="1" t="str">
        <f>TEXT(tbl_trade[[#This Row],[Date]],"yyyy-mm-dd")</f>
        <v>2024-01-15</v>
      </c>
      <c r="S8" s="1">
        <f>YEAR(tbl_trade[[#This Row],[Date]])</f>
        <v>2024</v>
      </c>
      <c r="T8" s="1" t="str">
        <f>TEXT(tbl_trade[[#This Row],[Date]],"mmm")</f>
        <v>Jan</v>
      </c>
      <c r="U8" s="1">
        <f>MONTH(tbl_trade[[#This Row],[Date]])</f>
        <v>1</v>
      </c>
      <c r="V8" s="1" t="str">
        <f>"Q"&amp;ROUNDUP(MONTH(tbl_trade[[#This Row],[Date]])/3,0)</f>
        <v>Q1</v>
      </c>
    </row>
    <row r="9" spans="1:22" x14ac:dyDescent="0.3">
      <c r="A9" s="18">
        <v>45307</v>
      </c>
      <c r="B9" s="1" t="s">
        <v>45</v>
      </c>
      <c r="C9" s="1" t="s">
        <v>25</v>
      </c>
      <c r="D9" s="1" t="s">
        <v>26</v>
      </c>
      <c r="E9" s="1">
        <v>458.74</v>
      </c>
      <c r="F9" s="1">
        <v>459.65</v>
      </c>
      <c r="G9" s="1">
        <v>20</v>
      </c>
      <c r="H9" s="1">
        <v>458.16</v>
      </c>
      <c r="I9" s="1">
        <v>460.63</v>
      </c>
      <c r="J9" s="1">
        <v>24.66</v>
      </c>
      <c r="K9" s="2">
        <v>-6.4600000000006368</v>
      </c>
      <c r="L9" s="1">
        <v>36.259999999999678</v>
      </c>
      <c r="M9" s="1">
        <v>-0.17815774958634015</v>
      </c>
      <c r="N9" s="1" t="s">
        <v>43</v>
      </c>
      <c r="O9" s="1" t="s">
        <v>47</v>
      </c>
      <c r="P9" s="1" t="str" cm="1">
        <f t="array" ref="P9">_xlfn.IFS(tbl_trade[[#This Row],[PnL]]&gt;0,"Win",tbl_trade[[#This Row],[PnL]]&lt;0,"Loss",TRUE,"BreakEven")</f>
        <v>Loss</v>
      </c>
      <c r="Q9" s="1">
        <f>IF(tbl_trade[[#This Row],[PnL]]&gt;0,1,0)</f>
        <v>0</v>
      </c>
      <c r="R9" s="1" t="str">
        <f>TEXT(tbl_trade[[#This Row],[Date]],"yyyy-mm-dd")</f>
        <v>2024-01-16</v>
      </c>
      <c r="S9" s="1">
        <f>YEAR(tbl_trade[[#This Row],[Date]])</f>
        <v>2024</v>
      </c>
      <c r="T9" s="1" t="str">
        <f>TEXT(tbl_trade[[#This Row],[Date]],"mmm")</f>
        <v>Jan</v>
      </c>
      <c r="U9" s="1">
        <f>MONTH(tbl_trade[[#This Row],[Date]])</f>
        <v>1</v>
      </c>
      <c r="V9" s="1" t="str">
        <f>"Q"&amp;ROUNDUP(MONTH(tbl_trade[[#This Row],[Date]])/3,0)</f>
        <v>Q1</v>
      </c>
    </row>
    <row r="10" spans="1:22" x14ac:dyDescent="0.3">
      <c r="A10" s="18">
        <v>45309</v>
      </c>
      <c r="B10" s="1" t="s">
        <v>48</v>
      </c>
      <c r="C10" s="1" t="s">
        <v>36</v>
      </c>
      <c r="D10" s="1" t="s">
        <v>26</v>
      </c>
      <c r="E10" s="1">
        <v>45398.825199999999</v>
      </c>
      <c r="F10" s="1">
        <v>46910.9974</v>
      </c>
      <c r="G10" s="1">
        <v>0.3</v>
      </c>
      <c r="H10" s="1">
        <v>44788.6319</v>
      </c>
      <c r="I10" s="1">
        <v>47027.536099999998</v>
      </c>
      <c r="J10" s="1">
        <v>16.98</v>
      </c>
      <c r="K10" s="2">
        <v>436.67166000000026</v>
      </c>
      <c r="L10" s="1">
        <v>200.0379899999997</v>
      </c>
      <c r="M10" s="1">
        <v>2.1829436498537147</v>
      </c>
      <c r="N10" s="1" t="s">
        <v>27</v>
      </c>
      <c r="O10" s="1" t="s">
        <v>49</v>
      </c>
      <c r="P10" s="1" t="str" cm="1">
        <f t="array" ref="P10">_xlfn.IFS(tbl_trade[[#This Row],[PnL]]&gt;0,"Win",tbl_trade[[#This Row],[PnL]]&lt;0,"Loss",TRUE,"BreakEven")</f>
        <v>Win</v>
      </c>
      <c r="Q10" s="1">
        <f>IF(tbl_trade[[#This Row],[PnL]]&gt;0,1,0)</f>
        <v>1</v>
      </c>
      <c r="R10" s="1" t="str">
        <f>TEXT(tbl_trade[[#This Row],[Date]],"yyyy-mm-dd")</f>
        <v>2024-01-18</v>
      </c>
      <c r="S10" s="1">
        <f>YEAR(tbl_trade[[#This Row],[Date]])</f>
        <v>2024</v>
      </c>
      <c r="T10" s="1" t="str">
        <f>TEXT(tbl_trade[[#This Row],[Date]],"mmm")</f>
        <v>Jan</v>
      </c>
      <c r="U10" s="1">
        <f>MONTH(tbl_trade[[#This Row],[Date]])</f>
        <v>1</v>
      </c>
      <c r="V10" s="1" t="str">
        <f>"Q"&amp;ROUNDUP(MONTH(tbl_trade[[#This Row],[Date]])/3,0)</f>
        <v>Q1</v>
      </c>
    </row>
    <row r="11" spans="1:22" x14ac:dyDescent="0.3">
      <c r="A11" s="18">
        <v>45310</v>
      </c>
      <c r="B11" s="1" t="s">
        <v>50</v>
      </c>
      <c r="C11" s="1" t="s">
        <v>25</v>
      </c>
      <c r="D11" s="1" t="s">
        <v>37</v>
      </c>
      <c r="E11" s="1">
        <v>161.65</v>
      </c>
      <c r="F11" s="1">
        <v>160.21</v>
      </c>
      <c r="G11" s="1">
        <v>20</v>
      </c>
      <c r="H11" s="1">
        <v>162.33000000000001</v>
      </c>
      <c r="I11" s="1">
        <v>159.55000000000001</v>
      </c>
      <c r="J11" s="1">
        <v>6.91</v>
      </c>
      <c r="K11" s="2">
        <v>21.889999999999954</v>
      </c>
      <c r="L11" s="1">
        <v>20.510000000000137</v>
      </c>
      <c r="M11" s="1">
        <v>1.0672842515845835</v>
      </c>
      <c r="N11" s="1" t="s">
        <v>40</v>
      </c>
      <c r="O11" s="1" t="s">
        <v>51</v>
      </c>
      <c r="P11" s="1" t="str" cm="1">
        <f t="array" ref="P11">_xlfn.IFS(tbl_trade[[#This Row],[PnL]]&gt;0,"Win",tbl_trade[[#This Row],[PnL]]&lt;0,"Loss",TRUE,"BreakEven")</f>
        <v>Win</v>
      </c>
      <c r="Q11" s="1">
        <f>IF(tbl_trade[[#This Row],[PnL]]&gt;0,1,0)</f>
        <v>1</v>
      </c>
      <c r="R11" s="1" t="str">
        <f>TEXT(tbl_trade[[#This Row],[Date]],"yyyy-mm-dd")</f>
        <v>2024-01-19</v>
      </c>
      <c r="S11" s="1">
        <f>YEAR(tbl_trade[[#This Row],[Date]])</f>
        <v>2024</v>
      </c>
      <c r="T11" s="1" t="str">
        <f>TEXT(tbl_trade[[#This Row],[Date]],"mmm")</f>
        <v>Jan</v>
      </c>
      <c r="U11" s="1">
        <f>MONTH(tbl_trade[[#This Row],[Date]])</f>
        <v>1</v>
      </c>
      <c r="V11" s="1" t="str">
        <f>"Q"&amp;ROUNDUP(MONTH(tbl_trade[[#This Row],[Date]])/3,0)</f>
        <v>Q1</v>
      </c>
    </row>
    <row r="12" spans="1:22" x14ac:dyDescent="0.3">
      <c r="A12" s="18">
        <v>45313</v>
      </c>
      <c r="B12" s="1" t="s">
        <v>35</v>
      </c>
      <c r="C12" s="1" t="s">
        <v>36</v>
      </c>
      <c r="D12" s="1" t="s">
        <v>37</v>
      </c>
      <c r="E12" s="1">
        <v>0.17680000000000001</v>
      </c>
      <c r="F12" s="1">
        <v>0.1787</v>
      </c>
      <c r="G12" s="1">
        <v>10000</v>
      </c>
      <c r="H12" s="1">
        <v>0.1794</v>
      </c>
      <c r="I12" s="1">
        <v>0.16919999999999999</v>
      </c>
      <c r="J12" s="1">
        <v>21.11</v>
      </c>
      <c r="K12" s="2">
        <v>-40.10999999999985</v>
      </c>
      <c r="L12" s="1">
        <v>47.109999999999914</v>
      </c>
      <c r="M12" s="1">
        <v>-0.85141158989598653</v>
      </c>
      <c r="N12" s="1" t="s">
        <v>52</v>
      </c>
      <c r="O12" s="1" t="s">
        <v>53</v>
      </c>
      <c r="P12" s="1" t="str" cm="1">
        <f t="array" ref="P12">_xlfn.IFS(tbl_trade[[#This Row],[PnL]]&gt;0,"Win",tbl_trade[[#This Row],[PnL]]&lt;0,"Loss",TRUE,"BreakEven")</f>
        <v>Loss</v>
      </c>
      <c r="Q12" s="1">
        <f>IF(tbl_trade[[#This Row],[PnL]]&gt;0,1,0)</f>
        <v>0</v>
      </c>
      <c r="R12" s="1" t="str">
        <f>TEXT(tbl_trade[[#This Row],[Date]],"yyyy-mm-dd")</f>
        <v>2024-01-22</v>
      </c>
      <c r="S12" s="1">
        <f>YEAR(tbl_trade[[#This Row],[Date]])</f>
        <v>2024</v>
      </c>
      <c r="T12" s="1" t="str">
        <f>TEXT(tbl_trade[[#This Row],[Date]],"mmm")</f>
        <v>Jan</v>
      </c>
      <c r="U12" s="1">
        <f>MONTH(tbl_trade[[#This Row],[Date]])</f>
        <v>1</v>
      </c>
      <c r="V12" s="1" t="str">
        <f>"Q"&amp;ROUNDUP(MONTH(tbl_trade[[#This Row],[Date]])/3,0)</f>
        <v>Q1</v>
      </c>
    </row>
    <row r="13" spans="1:22" x14ac:dyDescent="0.3">
      <c r="A13" s="18">
        <v>45315</v>
      </c>
      <c r="B13" s="1" t="s">
        <v>54</v>
      </c>
      <c r="C13" s="1" t="s">
        <v>15</v>
      </c>
      <c r="D13" s="1" t="s">
        <v>26</v>
      </c>
      <c r="E13" s="1">
        <v>1.2326999999999999</v>
      </c>
      <c r="F13" s="1">
        <v>1.2361</v>
      </c>
      <c r="G13" s="1">
        <v>25000</v>
      </c>
      <c r="H13" s="1">
        <v>1.2315</v>
      </c>
      <c r="I13" s="1">
        <v>1.2362</v>
      </c>
      <c r="J13" s="1">
        <v>27.86</v>
      </c>
      <c r="K13" s="2">
        <v>57.140000000001734</v>
      </c>
      <c r="L13" s="1">
        <v>57.859999999996695</v>
      </c>
      <c r="M13" s="1">
        <v>0.98755617006576213</v>
      </c>
      <c r="N13" s="1" t="s">
        <v>27</v>
      </c>
      <c r="O13" s="1" t="s">
        <v>55</v>
      </c>
      <c r="P13" s="1" t="str" cm="1">
        <f t="array" ref="P13">_xlfn.IFS(tbl_trade[[#This Row],[PnL]]&gt;0,"Win",tbl_trade[[#This Row],[PnL]]&lt;0,"Loss",TRUE,"BreakEven")</f>
        <v>Win</v>
      </c>
      <c r="Q13" s="1">
        <f>IF(tbl_trade[[#This Row],[PnL]]&gt;0,1,0)</f>
        <v>1</v>
      </c>
      <c r="R13" s="1" t="str">
        <f>TEXT(tbl_trade[[#This Row],[Date]],"yyyy-mm-dd")</f>
        <v>2024-01-24</v>
      </c>
      <c r="S13" s="1">
        <f>YEAR(tbl_trade[[#This Row],[Date]])</f>
        <v>2024</v>
      </c>
      <c r="T13" s="1" t="str">
        <f>TEXT(tbl_trade[[#This Row],[Date]],"mmm")</f>
        <v>Jan</v>
      </c>
      <c r="U13" s="1">
        <f>MONTH(tbl_trade[[#This Row],[Date]])</f>
        <v>1</v>
      </c>
      <c r="V13" s="1" t="str">
        <f>"Q"&amp;ROUNDUP(MONTH(tbl_trade[[#This Row],[Date]])/3,0)</f>
        <v>Q1</v>
      </c>
    </row>
    <row r="14" spans="1:22" x14ac:dyDescent="0.3">
      <c r="A14" s="18">
        <v>45320</v>
      </c>
      <c r="B14" s="1" t="s">
        <v>24</v>
      </c>
      <c r="C14" s="1" t="s">
        <v>25</v>
      </c>
      <c r="D14" s="1" t="s">
        <v>37</v>
      </c>
      <c r="E14" s="1">
        <v>365.91</v>
      </c>
      <c r="F14" s="1">
        <v>365.45</v>
      </c>
      <c r="G14" s="1">
        <v>15</v>
      </c>
      <c r="H14" s="1">
        <v>366.37</v>
      </c>
      <c r="I14" s="1">
        <v>364.34</v>
      </c>
      <c r="J14" s="1">
        <v>32.549999999999997</v>
      </c>
      <c r="K14" s="2">
        <v>-25.649999999999451</v>
      </c>
      <c r="L14" s="1">
        <v>39.44999999999969</v>
      </c>
      <c r="M14" s="1">
        <v>-0.6501901140684323</v>
      </c>
      <c r="N14" s="1" t="s">
        <v>52</v>
      </c>
      <c r="O14" s="1" t="s">
        <v>56</v>
      </c>
      <c r="P14" s="1" t="str" cm="1">
        <f t="array" ref="P14">_xlfn.IFS(tbl_trade[[#This Row],[PnL]]&gt;0,"Win",tbl_trade[[#This Row],[PnL]]&lt;0,"Loss",TRUE,"BreakEven")</f>
        <v>Loss</v>
      </c>
      <c r="Q14" s="1">
        <f>IF(tbl_trade[[#This Row],[PnL]]&gt;0,1,0)</f>
        <v>0</v>
      </c>
      <c r="R14" s="1" t="str">
        <f>TEXT(tbl_trade[[#This Row],[Date]],"yyyy-mm-dd")</f>
        <v>2024-01-29</v>
      </c>
      <c r="S14" s="1">
        <f>YEAR(tbl_trade[[#This Row],[Date]])</f>
        <v>2024</v>
      </c>
      <c r="T14" s="1" t="str">
        <f>TEXT(tbl_trade[[#This Row],[Date]],"mmm")</f>
        <v>Jan</v>
      </c>
      <c r="U14" s="1">
        <f>MONTH(tbl_trade[[#This Row],[Date]])</f>
        <v>1</v>
      </c>
      <c r="V14" s="1" t="str">
        <f>"Q"&amp;ROUNDUP(MONTH(tbl_trade[[#This Row],[Date]])/3,0)</f>
        <v>Q1</v>
      </c>
    </row>
    <row r="15" spans="1:22" x14ac:dyDescent="0.3">
      <c r="A15" s="18">
        <v>45323</v>
      </c>
      <c r="B15" s="1" t="s">
        <v>54</v>
      </c>
      <c r="C15" s="1" t="s">
        <v>15</v>
      </c>
      <c r="D15" s="1" t="s">
        <v>37</v>
      </c>
      <c r="E15" s="1">
        <v>1.2943</v>
      </c>
      <c r="F15" s="1">
        <v>1.2945</v>
      </c>
      <c r="G15" s="1">
        <v>25000</v>
      </c>
      <c r="H15" s="1">
        <v>1.2956000000000001</v>
      </c>
      <c r="I15" s="1">
        <v>1.2916000000000001</v>
      </c>
      <c r="J15" s="1">
        <v>31.34</v>
      </c>
      <c r="K15" s="2">
        <v>-36.339999999999449</v>
      </c>
      <c r="L15" s="1">
        <v>63.840000000001979</v>
      </c>
      <c r="M15" s="1">
        <v>-0.56923558897240478</v>
      </c>
      <c r="N15" s="1" t="s">
        <v>16</v>
      </c>
      <c r="O15" s="1" t="s">
        <v>57</v>
      </c>
      <c r="P15" s="1" t="str" cm="1">
        <f t="array" ref="P15">_xlfn.IFS(tbl_trade[[#This Row],[PnL]]&gt;0,"Win",tbl_trade[[#This Row],[PnL]]&lt;0,"Loss",TRUE,"BreakEven")</f>
        <v>Loss</v>
      </c>
      <c r="Q15" s="1">
        <f>IF(tbl_trade[[#This Row],[PnL]]&gt;0,1,0)</f>
        <v>0</v>
      </c>
      <c r="R15" s="1" t="str">
        <f>TEXT(tbl_trade[[#This Row],[Date]],"yyyy-mm-dd")</f>
        <v>2024-02-01</v>
      </c>
      <c r="S15" s="1">
        <f>YEAR(tbl_trade[[#This Row],[Date]])</f>
        <v>2024</v>
      </c>
      <c r="T15" s="1" t="str">
        <f>TEXT(tbl_trade[[#This Row],[Date]],"mmm")</f>
        <v>Feb</v>
      </c>
      <c r="U15" s="1">
        <f>MONTH(tbl_trade[[#This Row],[Date]])</f>
        <v>2</v>
      </c>
      <c r="V15" s="1" t="str">
        <f>"Q"&amp;ROUNDUP(MONTH(tbl_trade[[#This Row],[Date]])/3,0)</f>
        <v>Q1</v>
      </c>
    </row>
    <row r="16" spans="1:22" x14ac:dyDescent="0.3">
      <c r="A16" s="18">
        <v>45324</v>
      </c>
      <c r="B16" s="1" t="s">
        <v>29</v>
      </c>
      <c r="C16" s="1" t="s">
        <v>25</v>
      </c>
      <c r="D16" s="1" t="s">
        <v>37</v>
      </c>
      <c r="E16" s="1">
        <v>533.17999999999995</v>
      </c>
      <c r="F16" s="1">
        <v>529.05999999999995</v>
      </c>
      <c r="G16" s="1">
        <v>10</v>
      </c>
      <c r="H16" s="1">
        <v>534.57000000000005</v>
      </c>
      <c r="I16" s="1">
        <v>528.46</v>
      </c>
      <c r="J16" s="1">
        <v>20.83</v>
      </c>
      <c r="K16" s="2">
        <v>20.370000000000047</v>
      </c>
      <c r="L16" s="1">
        <v>34.730000000000999</v>
      </c>
      <c r="M16" s="1">
        <v>0.58652461848544379</v>
      </c>
      <c r="N16" s="1" t="s">
        <v>40</v>
      </c>
      <c r="O16" s="1" t="s">
        <v>51</v>
      </c>
      <c r="P16" s="1" t="str" cm="1">
        <f t="array" ref="P16">_xlfn.IFS(tbl_trade[[#This Row],[PnL]]&gt;0,"Win",tbl_trade[[#This Row],[PnL]]&lt;0,"Loss",TRUE,"BreakEven")</f>
        <v>Win</v>
      </c>
      <c r="Q16" s="1">
        <f>IF(tbl_trade[[#This Row],[PnL]]&gt;0,1,0)</f>
        <v>1</v>
      </c>
      <c r="R16" s="1" t="str">
        <f>TEXT(tbl_trade[[#This Row],[Date]],"yyyy-mm-dd")</f>
        <v>2024-02-02</v>
      </c>
      <c r="S16" s="1">
        <f>YEAR(tbl_trade[[#This Row],[Date]])</f>
        <v>2024</v>
      </c>
      <c r="T16" s="1" t="str">
        <f>TEXT(tbl_trade[[#This Row],[Date]],"mmm")</f>
        <v>Feb</v>
      </c>
      <c r="U16" s="1">
        <f>MONTH(tbl_trade[[#This Row],[Date]])</f>
        <v>2</v>
      </c>
      <c r="V16" s="1" t="str">
        <f>"Q"&amp;ROUNDUP(MONTH(tbl_trade[[#This Row],[Date]])/3,0)</f>
        <v>Q1</v>
      </c>
    </row>
    <row r="17" spans="1:22" x14ac:dyDescent="0.3">
      <c r="A17" s="18">
        <v>45327</v>
      </c>
      <c r="B17" s="1" t="s">
        <v>58</v>
      </c>
      <c r="C17" s="1" t="s">
        <v>15</v>
      </c>
      <c r="D17" s="1" t="s">
        <v>26</v>
      </c>
      <c r="E17" s="1">
        <v>1.3584000000000001</v>
      </c>
      <c r="F17" s="1">
        <v>1.3604000000000001</v>
      </c>
      <c r="G17" s="1">
        <v>30000</v>
      </c>
      <c r="H17" s="1">
        <v>1.3575999999999999</v>
      </c>
      <c r="I17" s="1">
        <v>1.3612</v>
      </c>
      <c r="J17" s="1">
        <v>18.14</v>
      </c>
      <c r="K17" s="2">
        <v>41.860000000000056</v>
      </c>
      <c r="L17" s="1">
        <v>42.140000000004022</v>
      </c>
      <c r="M17" s="1">
        <v>0.99335548172748123</v>
      </c>
      <c r="N17" s="1" t="s">
        <v>52</v>
      </c>
      <c r="O17" s="1" t="s">
        <v>51</v>
      </c>
      <c r="P17" s="1" t="str" cm="1">
        <f t="array" ref="P17">_xlfn.IFS(tbl_trade[[#This Row],[PnL]]&gt;0,"Win",tbl_trade[[#This Row],[PnL]]&lt;0,"Loss",TRUE,"BreakEven")</f>
        <v>Win</v>
      </c>
      <c r="Q17" s="1">
        <f>IF(tbl_trade[[#This Row],[PnL]]&gt;0,1,0)</f>
        <v>1</v>
      </c>
      <c r="R17" s="1" t="str">
        <f>TEXT(tbl_trade[[#This Row],[Date]],"yyyy-mm-dd")</f>
        <v>2024-02-05</v>
      </c>
      <c r="S17" s="1">
        <f>YEAR(tbl_trade[[#This Row],[Date]])</f>
        <v>2024</v>
      </c>
      <c r="T17" s="1" t="str">
        <f>TEXT(tbl_trade[[#This Row],[Date]],"mmm")</f>
        <v>Feb</v>
      </c>
      <c r="U17" s="1">
        <f>MONTH(tbl_trade[[#This Row],[Date]])</f>
        <v>2</v>
      </c>
      <c r="V17" s="1" t="str">
        <f>"Q"&amp;ROUNDUP(MONTH(tbl_trade[[#This Row],[Date]])/3,0)</f>
        <v>Q1</v>
      </c>
    </row>
    <row r="18" spans="1:22" x14ac:dyDescent="0.3">
      <c r="A18" s="18">
        <v>45330</v>
      </c>
      <c r="B18" s="1" t="s">
        <v>48</v>
      </c>
      <c r="C18" s="1" t="s">
        <v>36</v>
      </c>
      <c r="D18" s="1" t="s">
        <v>26</v>
      </c>
      <c r="E18" s="1">
        <v>39920.776899999997</v>
      </c>
      <c r="F18" s="1">
        <v>40606.6659</v>
      </c>
      <c r="G18" s="1">
        <v>0.3</v>
      </c>
      <c r="H18" s="1">
        <v>39077.6397</v>
      </c>
      <c r="I18" s="1">
        <v>42177.754200000003</v>
      </c>
      <c r="J18" s="1">
        <v>26.24</v>
      </c>
      <c r="K18" s="2">
        <v>179.52670000000083</v>
      </c>
      <c r="L18" s="1">
        <v>279.18115999999918</v>
      </c>
      <c r="M18" s="1">
        <v>0.64304733170390638</v>
      </c>
      <c r="N18" s="1" t="s">
        <v>30</v>
      </c>
      <c r="O18" s="1" t="s">
        <v>28</v>
      </c>
      <c r="P18" s="1" t="str" cm="1">
        <f t="array" ref="P18">_xlfn.IFS(tbl_trade[[#This Row],[PnL]]&gt;0,"Win",tbl_trade[[#This Row],[PnL]]&lt;0,"Loss",TRUE,"BreakEven")</f>
        <v>Win</v>
      </c>
      <c r="Q18" s="1">
        <f>IF(tbl_trade[[#This Row],[PnL]]&gt;0,1,0)</f>
        <v>1</v>
      </c>
      <c r="R18" s="1" t="str">
        <f>TEXT(tbl_trade[[#This Row],[Date]],"yyyy-mm-dd")</f>
        <v>2024-02-08</v>
      </c>
      <c r="S18" s="1">
        <f>YEAR(tbl_trade[[#This Row],[Date]])</f>
        <v>2024</v>
      </c>
      <c r="T18" s="1" t="str">
        <f>TEXT(tbl_trade[[#This Row],[Date]],"mmm")</f>
        <v>Feb</v>
      </c>
      <c r="U18" s="1">
        <f>MONTH(tbl_trade[[#This Row],[Date]])</f>
        <v>2</v>
      </c>
      <c r="V18" s="1" t="str">
        <f>"Q"&amp;ROUNDUP(MONTH(tbl_trade[[#This Row],[Date]])/3,0)</f>
        <v>Q1</v>
      </c>
    </row>
    <row r="19" spans="1:22" x14ac:dyDescent="0.3">
      <c r="A19" s="18">
        <v>45331</v>
      </c>
      <c r="B19" s="1" t="s">
        <v>45</v>
      </c>
      <c r="C19" s="1" t="s">
        <v>25</v>
      </c>
      <c r="D19" s="1" t="s">
        <v>26</v>
      </c>
      <c r="E19" s="1">
        <v>463.13</v>
      </c>
      <c r="F19" s="1">
        <v>463.66</v>
      </c>
      <c r="G19" s="1">
        <v>20</v>
      </c>
      <c r="H19" s="1">
        <v>462.82</v>
      </c>
      <c r="I19" s="1">
        <v>463.9</v>
      </c>
      <c r="J19" s="1">
        <v>26.7</v>
      </c>
      <c r="K19" s="2">
        <v>-16.099999999999408</v>
      </c>
      <c r="L19" s="1">
        <v>32.900000000000048</v>
      </c>
      <c r="M19" s="1">
        <v>-0.48936170212764085</v>
      </c>
      <c r="N19" s="1" t="s">
        <v>16</v>
      </c>
      <c r="O19" s="1" t="s">
        <v>59</v>
      </c>
      <c r="P19" s="1" t="str" cm="1">
        <f t="array" ref="P19">_xlfn.IFS(tbl_trade[[#This Row],[PnL]]&gt;0,"Win",tbl_trade[[#This Row],[PnL]]&lt;0,"Loss",TRUE,"BreakEven")</f>
        <v>Loss</v>
      </c>
      <c r="Q19" s="1">
        <f>IF(tbl_trade[[#This Row],[PnL]]&gt;0,1,0)</f>
        <v>0</v>
      </c>
      <c r="R19" s="1" t="str">
        <f>TEXT(tbl_trade[[#This Row],[Date]],"yyyy-mm-dd")</f>
        <v>2024-02-09</v>
      </c>
      <c r="S19" s="1">
        <f>YEAR(tbl_trade[[#This Row],[Date]])</f>
        <v>2024</v>
      </c>
      <c r="T19" s="1" t="str">
        <f>TEXT(tbl_trade[[#This Row],[Date]],"mmm")</f>
        <v>Feb</v>
      </c>
      <c r="U19" s="1">
        <f>MONTH(tbl_trade[[#This Row],[Date]])</f>
        <v>2</v>
      </c>
      <c r="V19" s="1" t="str">
        <f>"Q"&amp;ROUNDUP(MONTH(tbl_trade[[#This Row],[Date]])/3,0)</f>
        <v>Q1</v>
      </c>
    </row>
    <row r="20" spans="1:22" x14ac:dyDescent="0.3">
      <c r="A20" s="18">
        <v>45334</v>
      </c>
      <c r="B20" s="1" t="s">
        <v>39</v>
      </c>
      <c r="C20" s="1" t="s">
        <v>36</v>
      </c>
      <c r="D20" s="1" t="s">
        <v>37</v>
      </c>
      <c r="E20" s="1">
        <v>0.56820000000000004</v>
      </c>
      <c r="F20" s="1">
        <v>0.54320000000000002</v>
      </c>
      <c r="G20" s="1">
        <v>5000</v>
      </c>
      <c r="H20" s="1">
        <v>0.58009999999999995</v>
      </c>
      <c r="I20" s="1">
        <v>0.53469999999999995</v>
      </c>
      <c r="J20" s="1">
        <v>17.329999999999998</v>
      </c>
      <c r="K20" s="2">
        <v>107.67000000000012</v>
      </c>
      <c r="L20" s="1">
        <v>76.829999999999558</v>
      </c>
      <c r="M20" s="1">
        <v>1.4014057008980962</v>
      </c>
      <c r="N20" s="1" t="s">
        <v>30</v>
      </c>
      <c r="O20" s="1" t="s">
        <v>60</v>
      </c>
      <c r="P20" s="1" t="str" cm="1">
        <f t="array" ref="P20">_xlfn.IFS(tbl_trade[[#This Row],[PnL]]&gt;0,"Win",tbl_trade[[#This Row],[PnL]]&lt;0,"Loss",TRUE,"BreakEven")</f>
        <v>Win</v>
      </c>
      <c r="Q20" s="1">
        <f>IF(tbl_trade[[#This Row],[PnL]]&gt;0,1,0)</f>
        <v>1</v>
      </c>
      <c r="R20" s="1" t="str">
        <f>TEXT(tbl_trade[[#This Row],[Date]],"yyyy-mm-dd")</f>
        <v>2024-02-12</v>
      </c>
      <c r="S20" s="1">
        <f>YEAR(tbl_trade[[#This Row],[Date]])</f>
        <v>2024</v>
      </c>
      <c r="T20" s="1" t="str">
        <f>TEXT(tbl_trade[[#This Row],[Date]],"mmm")</f>
        <v>Feb</v>
      </c>
      <c r="U20" s="1">
        <f>MONTH(tbl_trade[[#This Row],[Date]])</f>
        <v>2</v>
      </c>
      <c r="V20" s="1" t="str">
        <f>"Q"&amp;ROUNDUP(MONTH(tbl_trade[[#This Row],[Date]])/3,0)</f>
        <v>Q1</v>
      </c>
    </row>
    <row r="21" spans="1:22" x14ac:dyDescent="0.3">
      <c r="A21" s="18">
        <v>45337</v>
      </c>
      <c r="B21" s="1" t="s">
        <v>61</v>
      </c>
      <c r="C21" s="1" t="s">
        <v>25</v>
      </c>
      <c r="D21" s="1" t="s">
        <v>26</v>
      </c>
      <c r="E21" s="1">
        <v>258.26</v>
      </c>
      <c r="F21" s="1">
        <v>258.01</v>
      </c>
      <c r="G21" s="1">
        <v>15</v>
      </c>
      <c r="H21" s="1">
        <v>257.77</v>
      </c>
      <c r="I21" s="1">
        <v>259.18</v>
      </c>
      <c r="J21" s="1">
        <v>9.2100000000000009</v>
      </c>
      <c r="K21" s="2">
        <v>-12.96</v>
      </c>
      <c r="L21" s="1">
        <v>16.560000000000137</v>
      </c>
      <c r="M21" s="1">
        <v>-0.78260869565216751</v>
      </c>
      <c r="N21" s="1" t="s">
        <v>16</v>
      </c>
      <c r="O21" s="1" t="s">
        <v>47</v>
      </c>
      <c r="P21" s="1" t="str" cm="1">
        <f t="array" ref="P21">_xlfn.IFS(tbl_trade[[#This Row],[PnL]]&gt;0,"Win",tbl_trade[[#This Row],[PnL]]&lt;0,"Loss",TRUE,"BreakEven")</f>
        <v>Loss</v>
      </c>
      <c r="Q21" s="1">
        <f>IF(tbl_trade[[#This Row],[PnL]]&gt;0,1,0)</f>
        <v>0</v>
      </c>
      <c r="R21" s="1" t="str">
        <f>TEXT(tbl_trade[[#This Row],[Date]],"yyyy-mm-dd")</f>
        <v>2024-02-15</v>
      </c>
      <c r="S21" s="1">
        <f>YEAR(tbl_trade[[#This Row],[Date]])</f>
        <v>2024</v>
      </c>
      <c r="T21" s="1" t="str">
        <f>TEXT(tbl_trade[[#This Row],[Date]],"mmm")</f>
        <v>Feb</v>
      </c>
      <c r="U21" s="1">
        <f>MONTH(tbl_trade[[#This Row],[Date]])</f>
        <v>2</v>
      </c>
      <c r="V21" s="1" t="str">
        <f>"Q"&amp;ROUNDUP(MONTH(tbl_trade[[#This Row],[Date]])/3,0)</f>
        <v>Q1</v>
      </c>
    </row>
    <row r="22" spans="1:22" x14ac:dyDescent="0.3">
      <c r="A22" s="18">
        <v>45338</v>
      </c>
      <c r="B22" s="1" t="s">
        <v>62</v>
      </c>
      <c r="C22" s="1" t="s">
        <v>25</v>
      </c>
      <c r="D22" s="1" t="s">
        <v>37</v>
      </c>
      <c r="E22" s="1">
        <v>433.86</v>
      </c>
      <c r="F22" s="1">
        <v>432.51</v>
      </c>
      <c r="G22" s="1">
        <v>20</v>
      </c>
      <c r="H22" s="1">
        <v>434.4</v>
      </c>
      <c r="I22" s="1">
        <v>432.46</v>
      </c>
      <c r="J22" s="1">
        <v>34.979999999999997</v>
      </c>
      <c r="K22" s="2">
        <v>-7.9799999999995421</v>
      </c>
      <c r="L22" s="1">
        <v>45.779999999999269</v>
      </c>
      <c r="M22" s="1">
        <v>-0.17431192660549738</v>
      </c>
      <c r="N22" s="1" t="s">
        <v>30</v>
      </c>
      <c r="O22" s="1" t="s">
        <v>59</v>
      </c>
      <c r="P22" s="1" t="str" cm="1">
        <f t="array" ref="P22">_xlfn.IFS(tbl_trade[[#This Row],[PnL]]&gt;0,"Win",tbl_trade[[#This Row],[PnL]]&lt;0,"Loss",TRUE,"BreakEven")</f>
        <v>Loss</v>
      </c>
      <c r="Q22" s="1">
        <f>IF(tbl_trade[[#This Row],[PnL]]&gt;0,1,0)</f>
        <v>0</v>
      </c>
      <c r="R22" s="1" t="str">
        <f>TEXT(tbl_trade[[#This Row],[Date]],"yyyy-mm-dd")</f>
        <v>2024-02-16</v>
      </c>
      <c r="S22" s="1">
        <f>YEAR(tbl_trade[[#This Row],[Date]])</f>
        <v>2024</v>
      </c>
      <c r="T22" s="1" t="str">
        <f>TEXT(tbl_trade[[#This Row],[Date]],"mmm")</f>
        <v>Feb</v>
      </c>
      <c r="U22" s="1">
        <f>MONTH(tbl_trade[[#This Row],[Date]])</f>
        <v>2</v>
      </c>
      <c r="V22" s="1" t="str">
        <f>"Q"&amp;ROUNDUP(MONTH(tbl_trade[[#This Row],[Date]])/3,0)</f>
        <v>Q1</v>
      </c>
    </row>
    <row r="23" spans="1:22" x14ac:dyDescent="0.3">
      <c r="A23" s="18">
        <v>45341</v>
      </c>
      <c r="B23" s="1" t="s">
        <v>29</v>
      </c>
      <c r="C23" s="1" t="s">
        <v>25</v>
      </c>
      <c r="D23" s="1" t="s">
        <v>26</v>
      </c>
      <c r="E23" s="1">
        <v>521.41</v>
      </c>
      <c r="F23" s="1">
        <v>522.61</v>
      </c>
      <c r="G23" s="1">
        <v>10</v>
      </c>
      <c r="H23" s="1">
        <v>520.33000000000004</v>
      </c>
      <c r="I23" s="1">
        <v>523.16</v>
      </c>
      <c r="J23" s="1">
        <v>34.56</v>
      </c>
      <c r="K23" s="2">
        <v>-22.559999999999548</v>
      </c>
      <c r="L23" s="1">
        <v>45.359999999999275</v>
      </c>
      <c r="M23" s="1">
        <v>-0.49735449735449533</v>
      </c>
      <c r="N23" s="1" t="s">
        <v>63</v>
      </c>
      <c r="O23" s="1" t="s">
        <v>55</v>
      </c>
      <c r="P23" s="1" t="str" cm="1">
        <f t="array" ref="P23">_xlfn.IFS(tbl_trade[[#This Row],[PnL]]&gt;0,"Win",tbl_trade[[#This Row],[PnL]]&lt;0,"Loss",TRUE,"BreakEven")</f>
        <v>Loss</v>
      </c>
      <c r="Q23" s="1">
        <f>IF(tbl_trade[[#This Row],[PnL]]&gt;0,1,0)</f>
        <v>0</v>
      </c>
      <c r="R23" s="1" t="str">
        <f>TEXT(tbl_trade[[#This Row],[Date]],"yyyy-mm-dd")</f>
        <v>2024-02-19</v>
      </c>
      <c r="S23" s="1">
        <f>YEAR(tbl_trade[[#This Row],[Date]])</f>
        <v>2024</v>
      </c>
      <c r="T23" s="1" t="str">
        <f>TEXT(tbl_trade[[#This Row],[Date]],"mmm")</f>
        <v>Feb</v>
      </c>
      <c r="U23" s="1">
        <f>MONTH(tbl_trade[[#This Row],[Date]])</f>
        <v>2</v>
      </c>
      <c r="V23" s="1" t="str">
        <f>"Q"&amp;ROUNDUP(MONTH(tbl_trade[[#This Row],[Date]])/3,0)</f>
        <v>Q1</v>
      </c>
    </row>
    <row r="24" spans="1:22" x14ac:dyDescent="0.3">
      <c r="A24" s="18">
        <v>45343</v>
      </c>
      <c r="B24" s="1" t="s">
        <v>48</v>
      </c>
      <c r="C24" s="1" t="s">
        <v>36</v>
      </c>
      <c r="D24" s="1" t="s">
        <v>37</v>
      </c>
      <c r="E24" s="1">
        <v>66719.529200000004</v>
      </c>
      <c r="F24" s="1">
        <v>66921.66</v>
      </c>
      <c r="G24" s="1">
        <v>0.3</v>
      </c>
      <c r="H24" s="1">
        <v>67564.143899999995</v>
      </c>
      <c r="I24" s="1">
        <v>64239.050799999997</v>
      </c>
      <c r="J24" s="1">
        <v>13.9</v>
      </c>
      <c r="K24" s="2">
        <v>-74.539239999999694</v>
      </c>
      <c r="L24" s="1">
        <v>267.28440999999725</v>
      </c>
      <c r="M24" s="1">
        <v>-0.27887612300321019</v>
      </c>
      <c r="N24" s="1" t="s">
        <v>33</v>
      </c>
      <c r="O24" s="1" t="s">
        <v>64</v>
      </c>
      <c r="P24" s="1" t="str" cm="1">
        <f t="array" ref="P24">_xlfn.IFS(tbl_trade[[#This Row],[PnL]]&gt;0,"Win",tbl_trade[[#This Row],[PnL]]&lt;0,"Loss",TRUE,"BreakEven")</f>
        <v>Loss</v>
      </c>
      <c r="Q24" s="1">
        <f>IF(tbl_trade[[#This Row],[PnL]]&gt;0,1,0)</f>
        <v>0</v>
      </c>
      <c r="R24" s="1" t="str">
        <f>TEXT(tbl_trade[[#This Row],[Date]],"yyyy-mm-dd")</f>
        <v>2024-02-21</v>
      </c>
      <c r="S24" s="1">
        <f>YEAR(tbl_trade[[#This Row],[Date]])</f>
        <v>2024</v>
      </c>
      <c r="T24" s="1" t="str">
        <f>TEXT(tbl_trade[[#This Row],[Date]],"mmm")</f>
        <v>Feb</v>
      </c>
      <c r="U24" s="1">
        <f>MONTH(tbl_trade[[#This Row],[Date]])</f>
        <v>2</v>
      </c>
      <c r="V24" s="1" t="str">
        <f>"Q"&amp;ROUNDUP(MONTH(tbl_trade[[#This Row],[Date]])/3,0)</f>
        <v>Q1</v>
      </c>
    </row>
    <row r="25" spans="1:22" x14ac:dyDescent="0.3">
      <c r="A25" s="18">
        <v>45344</v>
      </c>
      <c r="B25" s="1" t="s">
        <v>39</v>
      </c>
      <c r="C25" s="1" t="s">
        <v>36</v>
      </c>
      <c r="D25" s="1" t="s">
        <v>26</v>
      </c>
      <c r="E25" s="1">
        <v>0.46250000000000002</v>
      </c>
      <c r="F25" s="1">
        <v>0.48809999999999998</v>
      </c>
      <c r="G25" s="1">
        <v>5000</v>
      </c>
      <c r="H25" s="1">
        <v>0.43409999999999999</v>
      </c>
      <c r="I25" s="1">
        <v>0.5353</v>
      </c>
      <c r="J25" s="1">
        <v>20.23</v>
      </c>
      <c r="K25" s="2">
        <v>107.76999999999978</v>
      </c>
      <c r="L25" s="1">
        <v>162.23000000000016</v>
      </c>
      <c r="M25" s="1">
        <v>0.6643037662577802</v>
      </c>
      <c r="N25" s="1" t="s">
        <v>43</v>
      </c>
      <c r="O25" s="1" t="s">
        <v>41</v>
      </c>
      <c r="P25" s="1" t="str" cm="1">
        <f t="array" ref="P25">_xlfn.IFS(tbl_trade[[#This Row],[PnL]]&gt;0,"Win",tbl_trade[[#This Row],[PnL]]&lt;0,"Loss",TRUE,"BreakEven")</f>
        <v>Win</v>
      </c>
      <c r="Q25" s="1">
        <f>IF(tbl_trade[[#This Row],[PnL]]&gt;0,1,0)</f>
        <v>1</v>
      </c>
      <c r="R25" s="1" t="str">
        <f>TEXT(tbl_trade[[#This Row],[Date]],"yyyy-mm-dd")</f>
        <v>2024-02-22</v>
      </c>
      <c r="S25" s="1">
        <f>YEAR(tbl_trade[[#This Row],[Date]])</f>
        <v>2024</v>
      </c>
      <c r="T25" s="1" t="str">
        <f>TEXT(tbl_trade[[#This Row],[Date]],"mmm")</f>
        <v>Feb</v>
      </c>
      <c r="U25" s="1">
        <f>MONTH(tbl_trade[[#This Row],[Date]])</f>
        <v>2</v>
      </c>
      <c r="V25" s="1" t="str">
        <f>"Q"&amp;ROUNDUP(MONTH(tbl_trade[[#This Row],[Date]])/3,0)</f>
        <v>Q1</v>
      </c>
    </row>
    <row r="26" spans="1:22" x14ac:dyDescent="0.3">
      <c r="A26" s="18">
        <v>45345</v>
      </c>
      <c r="B26" s="1" t="s">
        <v>29</v>
      </c>
      <c r="C26" s="1" t="s">
        <v>25</v>
      </c>
      <c r="D26" s="1" t="s">
        <v>26</v>
      </c>
      <c r="E26" s="1">
        <v>429.97</v>
      </c>
      <c r="F26" s="1">
        <v>429.57</v>
      </c>
      <c r="G26" s="1">
        <v>10</v>
      </c>
      <c r="H26" s="1">
        <v>429.07</v>
      </c>
      <c r="I26" s="1">
        <v>432.39</v>
      </c>
      <c r="J26" s="1">
        <v>17.579999999999998</v>
      </c>
      <c r="K26" s="2">
        <v>-21.580000000000339</v>
      </c>
      <c r="L26" s="1">
        <v>26.580000000000339</v>
      </c>
      <c r="M26" s="1">
        <v>-0.81188863807374201</v>
      </c>
      <c r="N26" s="1" t="s">
        <v>30</v>
      </c>
      <c r="O26" s="1" t="s">
        <v>47</v>
      </c>
      <c r="P26" s="1" t="str" cm="1">
        <f t="array" ref="P26">_xlfn.IFS(tbl_trade[[#This Row],[PnL]]&gt;0,"Win",tbl_trade[[#This Row],[PnL]]&lt;0,"Loss",TRUE,"BreakEven")</f>
        <v>Loss</v>
      </c>
      <c r="Q26" s="1">
        <f>IF(tbl_trade[[#This Row],[PnL]]&gt;0,1,0)</f>
        <v>0</v>
      </c>
      <c r="R26" s="1" t="str">
        <f>TEXT(tbl_trade[[#This Row],[Date]],"yyyy-mm-dd")</f>
        <v>2024-02-23</v>
      </c>
      <c r="S26" s="1">
        <f>YEAR(tbl_trade[[#This Row],[Date]])</f>
        <v>2024</v>
      </c>
      <c r="T26" s="1" t="str">
        <f>TEXT(tbl_trade[[#This Row],[Date]],"mmm")</f>
        <v>Feb</v>
      </c>
      <c r="U26" s="1">
        <f>MONTH(tbl_trade[[#This Row],[Date]])</f>
        <v>2</v>
      </c>
      <c r="V26" s="1" t="str">
        <f>"Q"&amp;ROUNDUP(MONTH(tbl_trade[[#This Row],[Date]])/3,0)</f>
        <v>Q1</v>
      </c>
    </row>
    <row r="27" spans="1:22" x14ac:dyDescent="0.3">
      <c r="A27" s="18">
        <v>45348</v>
      </c>
      <c r="B27" s="1" t="s">
        <v>39</v>
      </c>
      <c r="C27" s="1" t="s">
        <v>36</v>
      </c>
      <c r="D27" s="1" t="s">
        <v>37</v>
      </c>
      <c r="E27" s="1">
        <v>0.61739999999999995</v>
      </c>
      <c r="F27" s="1">
        <v>0.59989999999999999</v>
      </c>
      <c r="G27" s="1">
        <v>5000</v>
      </c>
      <c r="H27" s="1">
        <v>0.63270000000000004</v>
      </c>
      <c r="I27" s="1">
        <v>0.59040000000000004</v>
      </c>
      <c r="J27" s="1">
        <v>18.72</v>
      </c>
      <c r="K27" s="2">
        <v>68.779999999999802</v>
      </c>
      <c r="L27" s="1">
        <v>95.220000000000454</v>
      </c>
      <c r="M27" s="1">
        <v>0.72232724217600797</v>
      </c>
      <c r="N27" s="1" t="s">
        <v>27</v>
      </c>
      <c r="O27" s="1" t="s">
        <v>65</v>
      </c>
      <c r="P27" s="1" t="str" cm="1">
        <f t="array" ref="P27">_xlfn.IFS(tbl_trade[[#This Row],[PnL]]&gt;0,"Win",tbl_trade[[#This Row],[PnL]]&lt;0,"Loss",TRUE,"BreakEven")</f>
        <v>Win</v>
      </c>
      <c r="Q27" s="1">
        <f>IF(tbl_trade[[#This Row],[PnL]]&gt;0,1,0)</f>
        <v>1</v>
      </c>
      <c r="R27" s="1" t="str">
        <f>TEXT(tbl_trade[[#This Row],[Date]],"yyyy-mm-dd")</f>
        <v>2024-02-26</v>
      </c>
      <c r="S27" s="1">
        <f>YEAR(tbl_trade[[#This Row],[Date]])</f>
        <v>2024</v>
      </c>
      <c r="T27" s="1" t="str">
        <f>TEXT(tbl_trade[[#This Row],[Date]],"mmm")</f>
        <v>Feb</v>
      </c>
      <c r="U27" s="1">
        <f>MONTH(tbl_trade[[#This Row],[Date]])</f>
        <v>2</v>
      </c>
      <c r="V27" s="1" t="str">
        <f>"Q"&amp;ROUNDUP(MONTH(tbl_trade[[#This Row],[Date]])/3,0)</f>
        <v>Q1</v>
      </c>
    </row>
    <row r="28" spans="1:22" x14ac:dyDescent="0.3">
      <c r="A28" s="18">
        <v>45349</v>
      </c>
      <c r="B28" s="1" t="s">
        <v>32</v>
      </c>
      <c r="C28" s="1" t="s">
        <v>25</v>
      </c>
      <c r="D28" s="1" t="s">
        <v>37</v>
      </c>
      <c r="E28" s="1">
        <v>199.8</v>
      </c>
      <c r="F28" s="1">
        <v>199.48</v>
      </c>
      <c r="G28" s="1">
        <v>20</v>
      </c>
      <c r="H28" s="1">
        <v>200.16</v>
      </c>
      <c r="I28" s="1">
        <v>199.07</v>
      </c>
      <c r="J28" s="1">
        <v>31.43</v>
      </c>
      <c r="K28" s="2">
        <v>-25.029999999999568</v>
      </c>
      <c r="L28" s="1">
        <v>38.629999999999704</v>
      </c>
      <c r="M28" s="1">
        <v>-0.64794201397876672</v>
      </c>
      <c r="N28" s="1" t="s">
        <v>66</v>
      </c>
      <c r="O28" s="1" t="s">
        <v>67</v>
      </c>
      <c r="P28" s="1" t="str" cm="1">
        <f t="array" ref="P28">_xlfn.IFS(tbl_trade[[#This Row],[PnL]]&gt;0,"Win",tbl_trade[[#This Row],[PnL]]&lt;0,"Loss",TRUE,"BreakEven")</f>
        <v>Loss</v>
      </c>
      <c r="Q28" s="1">
        <f>IF(tbl_trade[[#This Row],[PnL]]&gt;0,1,0)</f>
        <v>0</v>
      </c>
      <c r="R28" s="1" t="str">
        <f>TEXT(tbl_trade[[#This Row],[Date]],"yyyy-mm-dd")</f>
        <v>2024-02-27</v>
      </c>
      <c r="S28" s="1">
        <f>YEAR(tbl_trade[[#This Row],[Date]])</f>
        <v>2024</v>
      </c>
      <c r="T28" s="1" t="str">
        <f>TEXT(tbl_trade[[#This Row],[Date]],"mmm")</f>
        <v>Feb</v>
      </c>
      <c r="U28" s="1">
        <f>MONTH(tbl_trade[[#This Row],[Date]])</f>
        <v>2</v>
      </c>
      <c r="V28" s="1" t="str">
        <f>"Q"&amp;ROUNDUP(MONTH(tbl_trade[[#This Row],[Date]])/3,0)</f>
        <v>Q1</v>
      </c>
    </row>
    <row r="29" spans="1:22" x14ac:dyDescent="0.3">
      <c r="A29" s="18">
        <v>45350</v>
      </c>
      <c r="B29" s="1" t="s">
        <v>42</v>
      </c>
      <c r="C29" s="1" t="s">
        <v>15</v>
      </c>
      <c r="D29" s="1" t="s">
        <v>37</v>
      </c>
      <c r="E29" s="1">
        <v>150.00489999999999</v>
      </c>
      <c r="F29" s="1">
        <v>150.08150000000001</v>
      </c>
      <c r="G29" s="1">
        <v>20000</v>
      </c>
      <c r="H29" s="1">
        <v>150.11609999999999</v>
      </c>
      <c r="I29" s="1">
        <v>149.61850000000001</v>
      </c>
      <c r="J29" s="1">
        <v>5.23</v>
      </c>
      <c r="K29" s="2">
        <v>-1537.2300000002665</v>
      </c>
      <c r="L29" s="1">
        <v>2229.2299999999327</v>
      </c>
      <c r="M29" s="1">
        <v>-0.68957891289831597</v>
      </c>
      <c r="N29" s="1" t="s">
        <v>63</v>
      </c>
      <c r="O29" s="1" t="s">
        <v>68</v>
      </c>
      <c r="P29" s="1" t="str" cm="1">
        <f t="array" ref="P29">_xlfn.IFS(tbl_trade[[#This Row],[PnL]]&gt;0,"Win",tbl_trade[[#This Row],[PnL]]&lt;0,"Loss",TRUE,"BreakEven")</f>
        <v>Loss</v>
      </c>
      <c r="Q29" s="1">
        <f>IF(tbl_trade[[#This Row],[PnL]]&gt;0,1,0)</f>
        <v>0</v>
      </c>
      <c r="R29" s="1" t="str">
        <f>TEXT(tbl_trade[[#This Row],[Date]],"yyyy-mm-dd")</f>
        <v>2024-02-28</v>
      </c>
      <c r="S29" s="1">
        <f>YEAR(tbl_trade[[#This Row],[Date]])</f>
        <v>2024</v>
      </c>
      <c r="T29" s="1" t="str">
        <f>TEXT(tbl_trade[[#This Row],[Date]],"mmm")</f>
        <v>Feb</v>
      </c>
      <c r="U29" s="1">
        <f>MONTH(tbl_trade[[#This Row],[Date]])</f>
        <v>2</v>
      </c>
      <c r="V29" s="1" t="str">
        <f>"Q"&amp;ROUNDUP(MONTH(tbl_trade[[#This Row],[Date]])/3,0)</f>
        <v>Q1</v>
      </c>
    </row>
    <row r="30" spans="1:22" x14ac:dyDescent="0.3">
      <c r="A30" s="18">
        <v>45355</v>
      </c>
      <c r="B30" s="1" t="s">
        <v>69</v>
      </c>
      <c r="C30" s="1" t="s">
        <v>15</v>
      </c>
      <c r="D30" s="1" t="s">
        <v>26</v>
      </c>
      <c r="E30" s="1">
        <v>1.0581</v>
      </c>
      <c r="F30" s="1">
        <v>1.0598000000000001</v>
      </c>
      <c r="G30" s="1">
        <v>30000</v>
      </c>
      <c r="H30" s="1">
        <v>1.0569999999999999</v>
      </c>
      <c r="I30" s="1">
        <v>1.0603</v>
      </c>
      <c r="J30" s="1">
        <v>26.53</v>
      </c>
      <c r="K30" s="2">
        <v>24.470000000001043</v>
      </c>
      <c r="L30" s="1">
        <v>59.530000000003028</v>
      </c>
      <c r="M30" s="1">
        <v>0.41105325046194857</v>
      </c>
      <c r="N30" s="1" t="s">
        <v>63</v>
      </c>
      <c r="O30" s="1" t="s">
        <v>53</v>
      </c>
      <c r="P30" s="1" t="str" cm="1">
        <f t="array" ref="P30">_xlfn.IFS(tbl_trade[[#This Row],[PnL]]&gt;0,"Win",tbl_trade[[#This Row],[PnL]]&lt;0,"Loss",TRUE,"BreakEven")</f>
        <v>Win</v>
      </c>
      <c r="Q30" s="1">
        <f>IF(tbl_trade[[#This Row],[PnL]]&gt;0,1,0)</f>
        <v>1</v>
      </c>
      <c r="R30" s="1" t="str">
        <f>TEXT(tbl_trade[[#This Row],[Date]],"yyyy-mm-dd")</f>
        <v>2024-03-04</v>
      </c>
      <c r="S30" s="1">
        <f>YEAR(tbl_trade[[#This Row],[Date]])</f>
        <v>2024</v>
      </c>
      <c r="T30" s="1" t="str">
        <f>TEXT(tbl_trade[[#This Row],[Date]],"mmm")</f>
        <v>Mar</v>
      </c>
      <c r="U30" s="1">
        <f>MONTH(tbl_trade[[#This Row],[Date]])</f>
        <v>3</v>
      </c>
      <c r="V30" s="1" t="str">
        <f>"Q"&amp;ROUNDUP(MONTH(tbl_trade[[#This Row],[Date]])/3,0)</f>
        <v>Q1</v>
      </c>
    </row>
    <row r="31" spans="1:22" x14ac:dyDescent="0.3">
      <c r="A31" s="18">
        <v>45356</v>
      </c>
      <c r="B31" s="1" t="s">
        <v>62</v>
      </c>
      <c r="C31" s="1" t="s">
        <v>25</v>
      </c>
      <c r="D31" s="1" t="s">
        <v>37</v>
      </c>
      <c r="E31" s="1">
        <v>432.65</v>
      </c>
      <c r="F31" s="1">
        <v>431.28</v>
      </c>
      <c r="G31" s="1">
        <v>20</v>
      </c>
      <c r="H31" s="1">
        <v>433.1</v>
      </c>
      <c r="I31" s="1">
        <v>431.23</v>
      </c>
      <c r="J31" s="1">
        <v>15.01</v>
      </c>
      <c r="K31" s="2">
        <v>12.390000000000091</v>
      </c>
      <c r="L31" s="1">
        <v>24.010000000000908</v>
      </c>
      <c r="M31" s="1">
        <v>0.51603498542272486</v>
      </c>
      <c r="N31" s="1" t="s">
        <v>27</v>
      </c>
      <c r="O31" s="1" t="s">
        <v>70</v>
      </c>
      <c r="P31" s="1" t="str" cm="1">
        <f t="array" ref="P31">_xlfn.IFS(tbl_trade[[#This Row],[PnL]]&gt;0,"Win",tbl_trade[[#This Row],[PnL]]&lt;0,"Loss",TRUE,"BreakEven")</f>
        <v>Win</v>
      </c>
      <c r="Q31" s="1">
        <f>IF(tbl_trade[[#This Row],[PnL]]&gt;0,1,0)</f>
        <v>1</v>
      </c>
      <c r="R31" s="1" t="str">
        <f>TEXT(tbl_trade[[#This Row],[Date]],"yyyy-mm-dd")</f>
        <v>2024-03-05</v>
      </c>
      <c r="S31" s="1">
        <f>YEAR(tbl_trade[[#This Row],[Date]])</f>
        <v>2024</v>
      </c>
      <c r="T31" s="1" t="str">
        <f>TEXT(tbl_trade[[#This Row],[Date]],"mmm")</f>
        <v>Mar</v>
      </c>
      <c r="U31" s="1">
        <f>MONTH(tbl_trade[[#This Row],[Date]])</f>
        <v>3</v>
      </c>
      <c r="V31" s="1" t="str">
        <f>"Q"&amp;ROUNDUP(MONTH(tbl_trade[[#This Row],[Date]])/3,0)</f>
        <v>Q1</v>
      </c>
    </row>
    <row r="32" spans="1:22" x14ac:dyDescent="0.3">
      <c r="A32" s="18">
        <v>45357</v>
      </c>
      <c r="B32" s="1" t="s">
        <v>62</v>
      </c>
      <c r="C32" s="1" t="s">
        <v>25</v>
      </c>
      <c r="D32" s="1" t="s">
        <v>26</v>
      </c>
      <c r="E32" s="1">
        <v>416.45</v>
      </c>
      <c r="F32" s="1">
        <v>417.07</v>
      </c>
      <c r="G32" s="1">
        <v>20</v>
      </c>
      <c r="H32" s="1">
        <v>416.21</v>
      </c>
      <c r="I32" s="1">
        <v>417.26</v>
      </c>
      <c r="J32" s="1">
        <v>9.4700000000000006</v>
      </c>
      <c r="K32" s="2">
        <v>2.9300000000000903</v>
      </c>
      <c r="L32" s="1">
        <v>14.270000000000183</v>
      </c>
      <c r="M32" s="1">
        <v>0.20532585844429241</v>
      </c>
      <c r="N32" s="1" t="s">
        <v>46</v>
      </c>
      <c r="O32" s="1" t="s">
        <v>71</v>
      </c>
      <c r="P32" s="1" t="str" cm="1">
        <f t="array" ref="P32">_xlfn.IFS(tbl_trade[[#This Row],[PnL]]&gt;0,"Win",tbl_trade[[#This Row],[PnL]]&lt;0,"Loss",TRUE,"BreakEven")</f>
        <v>Win</v>
      </c>
      <c r="Q32" s="1">
        <f>IF(tbl_trade[[#This Row],[PnL]]&gt;0,1,0)</f>
        <v>1</v>
      </c>
      <c r="R32" s="1" t="str">
        <f>TEXT(tbl_trade[[#This Row],[Date]],"yyyy-mm-dd")</f>
        <v>2024-03-06</v>
      </c>
      <c r="S32" s="1">
        <f>YEAR(tbl_trade[[#This Row],[Date]])</f>
        <v>2024</v>
      </c>
      <c r="T32" s="1" t="str">
        <f>TEXT(tbl_trade[[#This Row],[Date]],"mmm")</f>
        <v>Mar</v>
      </c>
      <c r="U32" s="1">
        <f>MONTH(tbl_trade[[#This Row],[Date]])</f>
        <v>3</v>
      </c>
      <c r="V32" s="1" t="str">
        <f>"Q"&amp;ROUNDUP(MONTH(tbl_trade[[#This Row],[Date]])/3,0)</f>
        <v>Q1</v>
      </c>
    </row>
    <row r="33" spans="1:22" x14ac:dyDescent="0.3">
      <c r="A33" s="18">
        <v>45358</v>
      </c>
      <c r="B33" s="1" t="s">
        <v>42</v>
      </c>
      <c r="C33" s="1" t="s">
        <v>15</v>
      </c>
      <c r="D33" s="1" t="s">
        <v>26</v>
      </c>
      <c r="E33" s="1">
        <v>140.50190000000001</v>
      </c>
      <c r="F33" s="1">
        <v>140.6317</v>
      </c>
      <c r="G33" s="1">
        <v>20000</v>
      </c>
      <c r="H33" s="1">
        <v>140.3586</v>
      </c>
      <c r="I33" s="1">
        <v>140.99549999999999</v>
      </c>
      <c r="J33" s="1">
        <v>15.73</v>
      </c>
      <c r="K33" s="2">
        <v>2580.2699999997762</v>
      </c>
      <c r="L33" s="1">
        <v>2881.7300000002128</v>
      </c>
      <c r="M33" s="1">
        <v>0.89538922799831544</v>
      </c>
      <c r="N33" s="1" t="s">
        <v>33</v>
      </c>
      <c r="O33" s="1" t="s">
        <v>49</v>
      </c>
      <c r="P33" s="1" t="str" cm="1">
        <f t="array" ref="P33">_xlfn.IFS(tbl_trade[[#This Row],[PnL]]&gt;0,"Win",tbl_trade[[#This Row],[PnL]]&lt;0,"Loss",TRUE,"BreakEven")</f>
        <v>Win</v>
      </c>
      <c r="Q33" s="1">
        <f>IF(tbl_trade[[#This Row],[PnL]]&gt;0,1,0)</f>
        <v>1</v>
      </c>
      <c r="R33" s="1" t="str">
        <f>TEXT(tbl_trade[[#This Row],[Date]],"yyyy-mm-dd")</f>
        <v>2024-03-07</v>
      </c>
      <c r="S33" s="1">
        <f>YEAR(tbl_trade[[#This Row],[Date]])</f>
        <v>2024</v>
      </c>
      <c r="T33" s="1" t="str">
        <f>TEXT(tbl_trade[[#This Row],[Date]],"mmm")</f>
        <v>Mar</v>
      </c>
      <c r="U33" s="1">
        <f>MONTH(tbl_trade[[#This Row],[Date]])</f>
        <v>3</v>
      </c>
      <c r="V33" s="1" t="str">
        <f>"Q"&amp;ROUNDUP(MONTH(tbl_trade[[#This Row],[Date]])/3,0)</f>
        <v>Q1</v>
      </c>
    </row>
    <row r="34" spans="1:22" x14ac:dyDescent="0.3">
      <c r="A34" s="18">
        <v>45362</v>
      </c>
      <c r="B34" s="1" t="s">
        <v>45</v>
      </c>
      <c r="C34" s="1" t="s">
        <v>25</v>
      </c>
      <c r="D34" s="1" t="s">
        <v>26</v>
      </c>
      <c r="E34" s="1">
        <v>479.19</v>
      </c>
      <c r="F34" s="1">
        <v>479.09</v>
      </c>
      <c r="G34" s="1">
        <v>20</v>
      </c>
      <c r="H34" s="1">
        <v>478.6</v>
      </c>
      <c r="I34" s="1">
        <v>480.96</v>
      </c>
      <c r="J34" s="1">
        <v>12.1</v>
      </c>
      <c r="K34" s="2">
        <v>-14.100000000000454</v>
      </c>
      <c r="L34" s="1">
        <v>23.899999999999501</v>
      </c>
      <c r="M34" s="1">
        <v>-0.58995815899584725</v>
      </c>
      <c r="N34" s="1" t="s">
        <v>43</v>
      </c>
      <c r="O34" s="1" t="s">
        <v>51</v>
      </c>
      <c r="P34" s="1" t="str" cm="1">
        <f t="array" ref="P34">_xlfn.IFS(tbl_trade[[#This Row],[PnL]]&gt;0,"Win",tbl_trade[[#This Row],[PnL]]&lt;0,"Loss",TRUE,"BreakEven")</f>
        <v>Loss</v>
      </c>
      <c r="Q34" s="1">
        <f>IF(tbl_trade[[#This Row],[PnL]]&gt;0,1,0)</f>
        <v>0</v>
      </c>
      <c r="R34" s="1" t="str">
        <f>TEXT(tbl_trade[[#This Row],[Date]],"yyyy-mm-dd")</f>
        <v>2024-03-11</v>
      </c>
      <c r="S34" s="1">
        <f>YEAR(tbl_trade[[#This Row],[Date]])</f>
        <v>2024</v>
      </c>
      <c r="T34" s="1" t="str">
        <f>TEXT(tbl_trade[[#This Row],[Date]],"mmm")</f>
        <v>Mar</v>
      </c>
      <c r="U34" s="1">
        <f>MONTH(tbl_trade[[#This Row],[Date]])</f>
        <v>3</v>
      </c>
      <c r="V34" s="1" t="str">
        <f>"Q"&amp;ROUNDUP(MONTH(tbl_trade[[#This Row],[Date]])/3,0)</f>
        <v>Q1</v>
      </c>
    </row>
    <row r="35" spans="1:22" x14ac:dyDescent="0.3">
      <c r="A35" s="18">
        <v>45363</v>
      </c>
      <c r="B35" s="1" t="s">
        <v>72</v>
      </c>
      <c r="C35" s="1" t="s">
        <v>25</v>
      </c>
      <c r="D35" s="1" t="s">
        <v>37</v>
      </c>
      <c r="E35" s="1">
        <v>442.04</v>
      </c>
      <c r="F35" s="1">
        <v>440.6</v>
      </c>
      <c r="G35" s="1">
        <v>20</v>
      </c>
      <c r="H35" s="1">
        <v>443.33</v>
      </c>
      <c r="I35" s="1">
        <v>438.04</v>
      </c>
      <c r="J35" s="1">
        <v>29.32</v>
      </c>
      <c r="K35" s="2">
        <v>-0.52000000000004576</v>
      </c>
      <c r="L35" s="1">
        <v>55.119999999999273</v>
      </c>
      <c r="M35" s="1">
        <v>-9.4339622641518989E-3</v>
      </c>
      <c r="N35" s="1" t="s">
        <v>16</v>
      </c>
      <c r="O35" s="1" t="s">
        <v>73</v>
      </c>
      <c r="P35" s="1" t="str" cm="1">
        <f t="array" ref="P35">_xlfn.IFS(tbl_trade[[#This Row],[PnL]]&gt;0,"Win",tbl_trade[[#This Row],[PnL]]&lt;0,"Loss",TRUE,"BreakEven")</f>
        <v>Loss</v>
      </c>
      <c r="Q35" s="1">
        <f>IF(tbl_trade[[#This Row],[PnL]]&gt;0,1,0)</f>
        <v>0</v>
      </c>
      <c r="R35" s="1" t="str">
        <f>TEXT(tbl_trade[[#This Row],[Date]],"yyyy-mm-dd")</f>
        <v>2024-03-12</v>
      </c>
      <c r="S35" s="1">
        <f>YEAR(tbl_trade[[#This Row],[Date]])</f>
        <v>2024</v>
      </c>
      <c r="T35" s="1" t="str">
        <f>TEXT(tbl_trade[[#This Row],[Date]],"mmm")</f>
        <v>Mar</v>
      </c>
      <c r="U35" s="1">
        <f>MONTH(tbl_trade[[#This Row],[Date]])</f>
        <v>3</v>
      </c>
      <c r="V35" s="1" t="str">
        <f>"Q"&amp;ROUNDUP(MONTH(tbl_trade[[#This Row],[Date]])/3,0)</f>
        <v>Q1</v>
      </c>
    </row>
    <row r="36" spans="1:22" x14ac:dyDescent="0.3">
      <c r="A36" s="18">
        <v>45365</v>
      </c>
      <c r="B36" s="1" t="s">
        <v>72</v>
      </c>
      <c r="C36" s="1" t="s">
        <v>25</v>
      </c>
      <c r="D36" s="1" t="s">
        <v>26</v>
      </c>
      <c r="E36" s="1">
        <v>288.52</v>
      </c>
      <c r="F36" s="1">
        <v>289.58</v>
      </c>
      <c r="G36" s="1">
        <v>20</v>
      </c>
      <c r="H36" s="1">
        <v>287.89</v>
      </c>
      <c r="I36" s="1">
        <v>290.62</v>
      </c>
      <c r="J36" s="1">
        <v>29.62</v>
      </c>
      <c r="K36" s="2">
        <v>-8.4199999999999555</v>
      </c>
      <c r="L36" s="1">
        <v>42.219999999999914</v>
      </c>
      <c r="M36" s="1">
        <v>-0.19943154902889562</v>
      </c>
      <c r="N36" s="1" t="s">
        <v>33</v>
      </c>
      <c r="O36" s="1" t="s">
        <v>59</v>
      </c>
      <c r="P36" s="1" t="str" cm="1">
        <f t="array" ref="P36">_xlfn.IFS(tbl_trade[[#This Row],[PnL]]&gt;0,"Win",tbl_trade[[#This Row],[PnL]]&lt;0,"Loss",TRUE,"BreakEven")</f>
        <v>Loss</v>
      </c>
      <c r="Q36" s="1">
        <f>IF(tbl_trade[[#This Row],[PnL]]&gt;0,1,0)</f>
        <v>0</v>
      </c>
      <c r="R36" s="1" t="str">
        <f>TEXT(tbl_trade[[#This Row],[Date]],"yyyy-mm-dd")</f>
        <v>2024-03-14</v>
      </c>
      <c r="S36" s="1">
        <f>YEAR(tbl_trade[[#This Row],[Date]])</f>
        <v>2024</v>
      </c>
      <c r="T36" s="1" t="str">
        <f>TEXT(tbl_trade[[#This Row],[Date]],"mmm")</f>
        <v>Mar</v>
      </c>
      <c r="U36" s="1">
        <f>MONTH(tbl_trade[[#This Row],[Date]])</f>
        <v>3</v>
      </c>
      <c r="V36" s="1" t="str">
        <f>"Q"&amp;ROUNDUP(MONTH(tbl_trade[[#This Row],[Date]])/3,0)</f>
        <v>Q1</v>
      </c>
    </row>
    <row r="37" spans="1:22" x14ac:dyDescent="0.3">
      <c r="A37" s="18">
        <v>45366</v>
      </c>
      <c r="B37" s="1" t="s">
        <v>45</v>
      </c>
      <c r="C37" s="1" t="s">
        <v>25</v>
      </c>
      <c r="D37" s="1" t="s">
        <v>26</v>
      </c>
      <c r="E37" s="1">
        <v>462.98</v>
      </c>
      <c r="F37" s="1">
        <v>462.73</v>
      </c>
      <c r="G37" s="1">
        <v>20</v>
      </c>
      <c r="H37" s="1">
        <v>462.39</v>
      </c>
      <c r="I37" s="1">
        <v>464.19</v>
      </c>
      <c r="J37" s="1">
        <v>16.989999999999998</v>
      </c>
      <c r="K37" s="2">
        <v>-21.99</v>
      </c>
      <c r="L37" s="1">
        <v>28.790000000000635</v>
      </c>
      <c r="M37" s="1">
        <v>-0.76380687738796504</v>
      </c>
      <c r="N37" s="1" t="s">
        <v>30</v>
      </c>
      <c r="O37" s="1" t="s">
        <v>47</v>
      </c>
      <c r="P37" s="1" t="str" cm="1">
        <f t="array" ref="P37">_xlfn.IFS(tbl_trade[[#This Row],[PnL]]&gt;0,"Win",tbl_trade[[#This Row],[PnL]]&lt;0,"Loss",TRUE,"BreakEven")</f>
        <v>Loss</v>
      </c>
      <c r="Q37" s="1">
        <f>IF(tbl_trade[[#This Row],[PnL]]&gt;0,1,0)</f>
        <v>0</v>
      </c>
      <c r="R37" s="1" t="str">
        <f>TEXT(tbl_trade[[#This Row],[Date]],"yyyy-mm-dd")</f>
        <v>2024-03-15</v>
      </c>
      <c r="S37" s="1">
        <f>YEAR(tbl_trade[[#This Row],[Date]])</f>
        <v>2024</v>
      </c>
      <c r="T37" s="1" t="str">
        <f>TEXT(tbl_trade[[#This Row],[Date]],"mmm")</f>
        <v>Mar</v>
      </c>
      <c r="U37" s="1">
        <f>MONTH(tbl_trade[[#This Row],[Date]])</f>
        <v>3</v>
      </c>
      <c r="V37" s="1" t="str">
        <f>"Q"&amp;ROUNDUP(MONTH(tbl_trade[[#This Row],[Date]])/3,0)</f>
        <v>Q1</v>
      </c>
    </row>
    <row r="38" spans="1:22" x14ac:dyDescent="0.3">
      <c r="A38" s="18">
        <v>45369</v>
      </c>
      <c r="B38" s="1" t="s">
        <v>54</v>
      </c>
      <c r="C38" s="1" t="s">
        <v>15</v>
      </c>
      <c r="D38" s="1" t="s">
        <v>26</v>
      </c>
      <c r="E38" s="1">
        <v>1.2976000000000001</v>
      </c>
      <c r="F38" s="1">
        <v>1.2989999999999999</v>
      </c>
      <c r="G38" s="1">
        <v>25000</v>
      </c>
      <c r="H38" s="1">
        <v>1.2961</v>
      </c>
      <c r="I38" s="1">
        <v>1.3006</v>
      </c>
      <c r="J38" s="1">
        <v>18.04</v>
      </c>
      <c r="K38" s="2">
        <v>16.95999999999615</v>
      </c>
      <c r="L38" s="1">
        <v>55.54000000000142</v>
      </c>
      <c r="M38" s="1">
        <v>0.30536550234057824</v>
      </c>
      <c r="N38" s="1" t="s">
        <v>40</v>
      </c>
      <c r="O38" s="1" t="s">
        <v>70</v>
      </c>
      <c r="P38" s="1" t="str" cm="1">
        <f t="array" ref="P38">_xlfn.IFS(tbl_trade[[#This Row],[PnL]]&gt;0,"Win",tbl_trade[[#This Row],[PnL]]&lt;0,"Loss",TRUE,"BreakEven")</f>
        <v>Win</v>
      </c>
      <c r="Q38" s="1">
        <f>IF(tbl_trade[[#This Row],[PnL]]&gt;0,1,0)</f>
        <v>1</v>
      </c>
      <c r="R38" s="1" t="str">
        <f>TEXT(tbl_trade[[#This Row],[Date]],"yyyy-mm-dd")</f>
        <v>2024-03-18</v>
      </c>
      <c r="S38" s="1">
        <f>YEAR(tbl_trade[[#This Row],[Date]])</f>
        <v>2024</v>
      </c>
      <c r="T38" s="1" t="str">
        <f>TEXT(tbl_trade[[#This Row],[Date]],"mmm")</f>
        <v>Mar</v>
      </c>
      <c r="U38" s="1">
        <f>MONTH(tbl_trade[[#This Row],[Date]])</f>
        <v>3</v>
      </c>
      <c r="V38" s="1" t="str">
        <f>"Q"&amp;ROUNDUP(MONTH(tbl_trade[[#This Row],[Date]])/3,0)</f>
        <v>Q1</v>
      </c>
    </row>
    <row r="39" spans="1:22" x14ac:dyDescent="0.3">
      <c r="A39" s="18">
        <v>45372</v>
      </c>
      <c r="B39" s="1" t="s">
        <v>54</v>
      </c>
      <c r="C39" s="1" t="s">
        <v>15</v>
      </c>
      <c r="D39" s="1" t="s">
        <v>37</v>
      </c>
      <c r="E39" s="1">
        <v>1.2293000000000001</v>
      </c>
      <c r="F39" s="1">
        <v>1.2296</v>
      </c>
      <c r="G39" s="1">
        <v>25000</v>
      </c>
      <c r="H39" s="1">
        <v>1.23</v>
      </c>
      <c r="I39" s="1">
        <v>1.2282</v>
      </c>
      <c r="J39" s="1">
        <v>20.6</v>
      </c>
      <c r="K39" s="2">
        <v>-28.099999999999177</v>
      </c>
      <c r="L39" s="1">
        <v>38.099999999998076</v>
      </c>
      <c r="M39" s="1">
        <v>-0.73753280839896573</v>
      </c>
      <c r="N39" s="1" t="s">
        <v>66</v>
      </c>
      <c r="O39" s="1" t="s">
        <v>31</v>
      </c>
      <c r="P39" s="1" t="str" cm="1">
        <f t="array" ref="P39">_xlfn.IFS(tbl_trade[[#This Row],[PnL]]&gt;0,"Win",tbl_trade[[#This Row],[PnL]]&lt;0,"Loss",TRUE,"BreakEven")</f>
        <v>Loss</v>
      </c>
      <c r="Q39" s="1">
        <f>IF(tbl_trade[[#This Row],[PnL]]&gt;0,1,0)</f>
        <v>0</v>
      </c>
      <c r="R39" s="1" t="str">
        <f>TEXT(tbl_trade[[#This Row],[Date]],"yyyy-mm-dd")</f>
        <v>2024-03-21</v>
      </c>
      <c r="S39" s="1">
        <f>YEAR(tbl_trade[[#This Row],[Date]])</f>
        <v>2024</v>
      </c>
      <c r="T39" s="1" t="str">
        <f>TEXT(tbl_trade[[#This Row],[Date]],"mmm")</f>
        <v>Mar</v>
      </c>
      <c r="U39" s="1">
        <f>MONTH(tbl_trade[[#This Row],[Date]])</f>
        <v>3</v>
      </c>
      <c r="V39" s="1" t="str">
        <f>"Q"&amp;ROUNDUP(MONTH(tbl_trade[[#This Row],[Date]])/3,0)</f>
        <v>Q1</v>
      </c>
    </row>
    <row r="40" spans="1:22" x14ac:dyDescent="0.3">
      <c r="A40" s="18">
        <v>45376</v>
      </c>
      <c r="B40" s="1" t="s">
        <v>74</v>
      </c>
      <c r="C40" s="1" t="s">
        <v>25</v>
      </c>
      <c r="D40" s="1" t="s">
        <v>37</v>
      </c>
      <c r="E40" s="1">
        <v>163.21</v>
      </c>
      <c r="F40" s="1">
        <v>163.33000000000001</v>
      </c>
      <c r="G40" s="1">
        <v>15</v>
      </c>
      <c r="H40" s="1">
        <v>163.77000000000001</v>
      </c>
      <c r="I40" s="1">
        <v>161.63</v>
      </c>
      <c r="J40" s="1">
        <v>32</v>
      </c>
      <c r="K40" s="2">
        <v>-33.800000000000068</v>
      </c>
      <c r="L40" s="1">
        <v>40.400000000000034</v>
      </c>
      <c r="M40" s="1">
        <v>-0.8366336633663376</v>
      </c>
      <c r="N40" s="1" t="s">
        <v>33</v>
      </c>
      <c r="O40" s="1" t="s">
        <v>75</v>
      </c>
      <c r="P40" s="1" t="str" cm="1">
        <f t="array" ref="P40">_xlfn.IFS(tbl_trade[[#This Row],[PnL]]&gt;0,"Win",tbl_trade[[#This Row],[PnL]]&lt;0,"Loss",TRUE,"BreakEven")</f>
        <v>Loss</v>
      </c>
      <c r="Q40" s="1">
        <f>IF(tbl_trade[[#This Row],[PnL]]&gt;0,1,0)</f>
        <v>0</v>
      </c>
      <c r="R40" s="1" t="str">
        <f>TEXT(tbl_trade[[#This Row],[Date]],"yyyy-mm-dd")</f>
        <v>2024-03-25</v>
      </c>
      <c r="S40" s="1">
        <f>YEAR(tbl_trade[[#This Row],[Date]])</f>
        <v>2024</v>
      </c>
      <c r="T40" s="1" t="str">
        <f>TEXT(tbl_trade[[#This Row],[Date]],"mmm")</f>
        <v>Mar</v>
      </c>
      <c r="U40" s="1">
        <f>MONTH(tbl_trade[[#This Row],[Date]])</f>
        <v>3</v>
      </c>
      <c r="V40" s="1" t="str">
        <f>"Q"&amp;ROUNDUP(MONTH(tbl_trade[[#This Row],[Date]])/3,0)</f>
        <v>Q1</v>
      </c>
    </row>
    <row r="41" spans="1:22" x14ac:dyDescent="0.3">
      <c r="A41" s="18">
        <v>45379</v>
      </c>
      <c r="B41" s="1" t="s">
        <v>69</v>
      </c>
      <c r="C41" s="1" t="s">
        <v>15</v>
      </c>
      <c r="D41" s="1" t="s">
        <v>37</v>
      </c>
      <c r="E41" s="1">
        <v>1.0988</v>
      </c>
      <c r="F41" s="1">
        <v>1.0972999999999999</v>
      </c>
      <c r="G41" s="1">
        <v>30000</v>
      </c>
      <c r="H41" s="1">
        <v>1.0994999999999999</v>
      </c>
      <c r="I41" s="1">
        <v>1.0968</v>
      </c>
      <c r="J41" s="1">
        <v>27.44</v>
      </c>
      <c r="K41" s="2">
        <v>17.560000000001704</v>
      </c>
      <c r="L41" s="1">
        <v>48.439999999997688</v>
      </c>
      <c r="M41" s="1">
        <v>0.36251032204794675</v>
      </c>
      <c r="N41" s="1" t="s">
        <v>43</v>
      </c>
      <c r="O41" s="1" t="s">
        <v>47</v>
      </c>
      <c r="P41" s="1" t="str" cm="1">
        <f t="array" ref="P41">_xlfn.IFS(tbl_trade[[#This Row],[PnL]]&gt;0,"Win",tbl_trade[[#This Row],[PnL]]&lt;0,"Loss",TRUE,"BreakEven")</f>
        <v>Win</v>
      </c>
      <c r="Q41" s="1">
        <f>IF(tbl_trade[[#This Row],[PnL]]&gt;0,1,0)</f>
        <v>1</v>
      </c>
      <c r="R41" s="1" t="str">
        <f>TEXT(tbl_trade[[#This Row],[Date]],"yyyy-mm-dd")</f>
        <v>2024-03-28</v>
      </c>
      <c r="S41" s="1">
        <f>YEAR(tbl_trade[[#This Row],[Date]])</f>
        <v>2024</v>
      </c>
      <c r="T41" s="1" t="str">
        <f>TEXT(tbl_trade[[#This Row],[Date]],"mmm")</f>
        <v>Mar</v>
      </c>
      <c r="U41" s="1">
        <f>MONTH(tbl_trade[[#This Row],[Date]])</f>
        <v>3</v>
      </c>
      <c r="V41" s="1" t="str">
        <f>"Q"&amp;ROUNDUP(MONTH(tbl_trade[[#This Row],[Date]])/3,0)</f>
        <v>Q1</v>
      </c>
    </row>
    <row r="42" spans="1:22" x14ac:dyDescent="0.3">
      <c r="A42" s="18">
        <v>45380</v>
      </c>
      <c r="B42" s="1" t="s">
        <v>35</v>
      </c>
      <c r="C42" s="1" t="s">
        <v>36</v>
      </c>
      <c r="D42" s="1" t="s">
        <v>37</v>
      </c>
      <c r="E42" s="1">
        <v>0.16170000000000001</v>
      </c>
      <c r="F42" s="1">
        <v>0.15559999999999999</v>
      </c>
      <c r="G42" s="1">
        <v>10000</v>
      </c>
      <c r="H42" s="1">
        <v>0.1653</v>
      </c>
      <c r="I42" s="1">
        <v>0.15060000000000001</v>
      </c>
      <c r="J42" s="1">
        <v>14.67</v>
      </c>
      <c r="K42" s="2">
        <v>46.330000000000219</v>
      </c>
      <c r="L42" s="1">
        <v>50.669999999999924</v>
      </c>
      <c r="M42" s="1">
        <v>0.91434774028025045</v>
      </c>
      <c r="N42" s="1" t="s">
        <v>33</v>
      </c>
      <c r="O42" s="1" t="s">
        <v>71</v>
      </c>
      <c r="P42" s="1" t="str" cm="1">
        <f t="array" ref="P42">_xlfn.IFS(tbl_trade[[#This Row],[PnL]]&gt;0,"Win",tbl_trade[[#This Row],[PnL]]&lt;0,"Loss",TRUE,"BreakEven")</f>
        <v>Win</v>
      </c>
      <c r="Q42" s="1">
        <f>IF(tbl_trade[[#This Row],[PnL]]&gt;0,1,0)</f>
        <v>1</v>
      </c>
      <c r="R42" s="1" t="str">
        <f>TEXT(tbl_trade[[#This Row],[Date]],"yyyy-mm-dd")</f>
        <v>2024-03-29</v>
      </c>
      <c r="S42" s="1">
        <f>YEAR(tbl_trade[[#This Row],[Date]])</f>
        <v>2024</v>
      </c>
      <c r="T42" s="1" t="str">
        <f>TEXT(tbl_trade[[#This Row],[Date]],"mmm")</f>
        <v>Mar</v>
      </c>
      <c r="U42" s="1">
        <f>MONTH(tbl_trade[[#This Row],[Date]])</f>
        <v>3</v>
      </c>
      <c r="V42" s="1" t="str">
        <f>"Q"&amp;ROUNDUP(MONTH(tbl_trade[[#This Row],[Date]])/3,0)</f>
        <v>Q1</v>
      </c>
    </row>
    <row r="43" spans="1:22" x14ac:dyDescent="0.3">
      <c r="A43" s="18">
        <v>45383</v>
      </c>
      <c r="B43" s="1" t="s">
        <v>48</v>
      </c>
      <c r="C43" s="1" t="s">
        <v>36</v>
      </c>
      <c r="D43" s="1" t="s">
        <v>26</v>
      </c>
      <c r="E43" s="1">
        <v>61812.061999999998</v>
      </c>
      <c r="F43" s="1">
        <v>61075.8321</v>
      </c>
      <c r="G43" s="1">
        <v>0.3</v>
      </c>
      <c r="H43" s="1">
        <v>60823.292800000003</v>
      </c>
      <c r="I43" s="1">
        <v>64598.118399999999</v>
      </c>
      <c r="J43" s="1">
        <v>24.92</v>
      </c>
      <c r="K43" s="2">
        <v>-245.78896999999955</v>
      </c>
      <c r="L43" s="1">
        <v>321.55075999999855</v>
      </c>
      <c r="M43" s="1">
        <v>-0.76438622007922064</v>
      </c>
      <c r="N43" s="1" t="s">
        <v>52</v>
      </c>
      <c r="O43" s="1" t="s">
        <v>76</v>
      </c>
      <c r="P43" s="1" t="str" cm="1">
        <f t="array" ref="P43">_xlfn.IFS(tbl_trade[[#This Row],[PnL]]&gt;0,"Win",tbl_trade[[#This Row],[PnL]]&lt;0,"Loss",TRUE,"BreakEven")</f>
        <v>Loss</v>
      </c>
      <c r="Q43" s="1">
        <f>IF(tbl_trade[[#This Row],[PnL]]&gt;0,1,0)</f>
        <v>0</v>
      </c>
      <c r="R43" s="1" t="str">
        <f>TEXT(tbl_trade[[#This Row],[Date]],"yyyy-mm-dd")</f>
        <v>2024-04-01</v>
      </c>
      <c r="S43" s="1">
        <f>YEAR(tbl_trade[[#This Row],[Date]])</f>
        <v>2024</v>
      </c>
      <c r="T43" s="1" t="str">
        <f>TEXT(tbl_trade[[#This Row],[Date]],"mmm")</f>
        <v>Apr</v>
      </c>
      <c r="U43" s="1">
        <f>MONTH(tbl_trade[[#This Row],[Date]])</f>
        <v>4</v>
      </c>
      <c r="V43" s="1" t="str">
        <f>"Q"&amp;ROUNDUP(MONTH(tbl_trade[[#This Row],[Date]])/3,0)</f>
        <v>Q2</v>
      </c>
    </row>
    <row r="44" spans="1:22" x14ac:dyDescent="0.3">
      <c r="A44" s="18">
        <v>45386</v>
      </c>
      <c r="B44" s="1" t="s">
        <v>54</v>
      </c>
      <c r="C44" s="1" t="s">
        <v>15</v>
      </c>
      <c r="D44" s="1" t="s">
        <v>26</v>
      </c>
      <c r="E44" s="1">
        <v>1.2447999999999999</v>
      </c>
      <c r="F44" s="1">
        <v>1.2446999999999999</v>
      </c>
      <c r="G44" s="1">
        <v>25000</v>
      </c>
      <c r="H44" s="1">
        <v>1.2442</v>
      </c>
      <c r="I44" s="1">
        <v>1.2458</v>
      </c>
      <c r="J44" s="1">
        <v>23.34</v>
      </c>
      <c r="K44" s="2">
        <v>-25.839999999999726</v>
      </c>
      <c r="L44" s="1">
        <v>38.339999999998348</v>
      </c>
      <c r="M44" s="1">
        <v>-0.67396974439230151</v>
      </c>
      <c r="N44" s="1" t="s">
        <v>30</v>
      </c>
      <c r="O44" s="1" t="s">
        <v>77</v>
      </c>
      <c r="P44" s="1" t="str" cm="1">
        <f t="array" ref="P44">_xlfn.IFS(tbl_trade[[#This Row],[PnL]]&gt;0,"Win",tbl_trade[[#This Row],[PnL]]&lt;0,"Loss",TRUE,"BreakEven")</f>
        <v>Loss</v>
      </c>
      <c r="Q44" s="1">
        <f>IF(tbl_trade[[#This Row],[PnL]]&gt;0,1,0)</f>
        <v>0</v>
      </c>
      <c r="R44" s="1" t="str">
        <f>TEXT(tbl_trade[[#This Row],[Date]],"yyyy-mm-dd")</f>
        <v>2024-04-04</v>
      </c>
      <c r="S44" s="1">
        <f>YEAR(tbl_trade[[#This Row],[Date]])</f>
        <v>2024</v>
      </c>
      <c r="T44" s="1" t="str">
        <f>TEXT(tbl_trade[[#This Row],[Date]],"mmm")</f>
        <v>Apr</v>
      </c>
      <c r="U44" s="1">
        <f>MONTH(tbl_trade[[#This Row],[Date]])</f>
        <v>4</v>
      </c>
      <c r="V44" s="1" t="str">
        <f>"Q"&amp;ROUNDUP(MONTH(tbl_trade[[#This Row],[Date]])/3,0)</f>
        <v>Q2</v>
      </c>
    </row>
    <row r="45" spans="1:22" x14ac:dyDescent="0.3">
      <c r="A45" s="18">
        <v>45387</v>
      </c>
      <c r="B45" s="1" t="s">
        <v>48</v>
      </c>
      <c r="C45" s="1" t="s">
        <v>36</v>
      </c>
      <c r="D45" s="1" t="s">
        <v>37</v>
      </c>
      <c r="E45" s="1">
        <v>59550.377500000002</v>
      </c>
      <c r="F45" s="1">
        <v>58750.866600000001</v>
      </c>
      <c r="G45" s="1">
        <v>0.3</v>
      </c>
      <c r="H45" s="1">
        <v>60270.099800000004</v>
      </c>
      <c r="I45" s="1">
        <v>58258.373299999999</v>
      </c>
      <c r="J45" s="1">
        <v>31.78</v>
      </c>
      <c r="K45" s="2">
        <v>208.07327000000032</v>
      </c>
      <c r="L45" s="1">
        <v>247.69669000000039</v>
      </c>
      <c r="M45" s="1">
        <v>0.8400325010398807</v>
      </c>
      <c r="N45" s="1" t="s">
        <v>66</v>
      </c>
      <c r="O45" s="1" t="s">
        <v>65</v>
      </c>
      <c r="P45" s="1" t="str" cm="1">
        <f t="array" ref="P45">_xlfn.IFS(tbl_trade[[#This Row],[PnL]]&gt;0,"Win",tbl_trade[[#This Row],[PnL]]&lt;0,"Loss",TRUE,"BreakEven")</f>
        <v>Win</v>
      </c>
      <c r="Q45" s="1">
        <f>IF(tbl_trade[[#This Row],[PnL]]&gt;0,1,0)</f>
        <v>1</v>
      </c>
      <c r="R45" s="1" t="str">
        <f>TEXT(tbl_trade[[#This Row],[Date]],"yyyy-mm-dd")</f>
        <v>2024-04-05</v>
      </c>
      <c r="S45" s="1">
        <f>YEAR(tbl_trade[[#This Row],[Date]])</f>
        <v>2024</v>
      </c>
      <c r="T45" s="1" t="str">
        <f>TEXT(tbl_trade[[#This Row],[Date]],"mmm")</f>
        <v>Apr</v>
      </c>
      <c r="U45" s="1">
        <f>MONTH(tbl_trade[[#This Row],[Date]])</f>
        <v>4</v>
      </c>
      <c r="V45" s="1" t="str">
        <f>"Q"&amp;ROUNDUP(MONTH(tbl_trade[[#This Row],[Date]])/3,0)</f>
        <v>Q2</v>
      </c>
    </row>
    <row r="46" spans="1:22" x14ac:dyDescent="0.3">
      <c r="A46" s="18">
        <v>45390</v>
      </c>
      <c r="B46" s="1" t="s">
        <v>58</v>
      </c>
      <c r="C46" s="1" t="s">
        <v>15</v>
      </c>
      <c r="D46" s="1" t="s">
        <v>26</v>
      </c>
      <c r="E46" s="1">
        <v>1.3766</v>
      </c>
      <c r="F46" s="1">
        <v>1.3776999999999999</v>
      </c>
      <c r="G46" s="1">
        <v>30000</v>
      </c>
      <c r="H46" s="1">
        <v>1.3759999999999999</v>
      </c>
      <c r="I46" s="1">
        <v>1.3777999999999999</v>
      </c>
      <c r="J46" s="1">
        <v>18.690000000000001</v>
      </c>
      <c r="K46" s="2">
        <v>14.309999999996361</v>
      </c>
      <c r="L46" s="1">
        <v>36.69000000000468</v>
      </c>
      <c r="M46" s="1">
        <v>0.39002452984449537</v>
      </c>
      <c r="N46" s="1" t="s">
        <v>63</v>
      </c>
      <c r="O46" s="1" t="s">
        <v>60</v>
      </c>
      <c r="P46" s="1" t="str" cm="1">
        <f t="array" ref="P46">_xlfn.IFS(tbl_trade[[#This Row],[PnL]]&gt;0,"Win",tbl_trade[[#This Row],[PnL]]&lt;0,"Loss",TRUE,"BreakEven")</f>
        <v>Win</v>
      </c>
      <c r="Q46" s="1">
        <f>IF(tbl_trade[[#This Row],[PnL]]&gt;0,1,0)</f>
        <v>1</v>
      </c>
      <c r="R46" s="1" t="str">
        <f>TEXT(tbl_trade[[#This Row],[Date]],"yyyy-mm-dd")</f>
        <v>2024-04-08</v>
      </c>
      <c r="S46" s="1">
        <f>YEAR(tbl_trade[[#This Row],[Date]])</f>
        <v>2024</v>
      </c>
      <c r="T46" s="1" t="str">
        <f>TEXT(tbl_trade[[#This Row],[Date]],"mmm")</f>
        <v>Apr</v>
      </c>
      <c r="U46" s="1">
        <f>MONTH(tbl_trade[[#This Row],[Date]])</f>
        <v>4</v>
      </c>
      <c r="V46" s="1" t="str">
        <f>"Q"&amp;ROUNDUP(MONTH(tbl_trade[[#This Row],[Date]])/3,0)</f>
        <v>Q2</v>
      </c>
    </row>
    <row r="47" spans="1:22" x14ac:dyDescent="0.3">
      <c r="A47" s="18">
        <v>45392</v>
      </c>
      <c r="B47" s="1" t="s">
        <v>78</v>
      </c>
      <c r="C47" s="1" t="s">
        <v>36</v>
      </c>
      <c r="D47" s="1" t="s">
        <v>37</v>
      </c>
      <c r="E47" s="1">
        <v>161.50069999999999</v>
      </c>
      <c r="F47" s="1">
        <v>163.8237</v>
      </c>
      <c r="G47" s="1">
        <v>10</v>
      </c>
      <c r="H47" s="1">
        <v>166.1344</v>
      </c>
      <c r="I47" s="1">
        <v>146.14599999999999</v>
      </c>
      <c r="J47" s="1">
        <v>9.77</v>
      </c>
      <c r="K47" s="2">
        <v>-33.000000000000071</v>
      </c>
      <c r="L47" s="1">
        <v>56.107000000000042</v>
      </c>
      <c r="M47" s="1">
        <v>-0.58816190493164933</v>
      </c>
      <c r="N47" s="1" t="s">
        <v>46</v>
      </c>
      <c r="O47" s="1" t="s">
        <v>56</v>
      </c>
      <c r="P47" s="1" t="str" cm="1">
        <f t="array" ref="P47">_xlfn.IFS(tbl_trade[[#This Row],[PnL]]&gt;0,"Win",tbl_trade[[#This Row],[PnL]]&lt;0,"Loss",TRUE,"BreakEven")</f>
        <v>Loss</v>
      </c>
      <c r="Q47" s="1">
        <f>IF(tbl_trade[[#This Row],[PnL]]&gt;0,1,0)</f>
        <v>0</v>
      </c>
      <c r="R47" s="1" t="str">
        <f>TEXT(tbl_trade[[#This Row],[Date]],"yyyy-mm-dd")</f>
        <v>2024-04-10</v>
      </c>
      <c r="S47" s="1">
        <f>YEAR(tbl_trade[[#This Row],[Date]])</f>
        <v>2024</v>
      </c>
      <c r="T47" s="1" t="str">
        <f>TEXT(tbl_trade[[#This Row],[Date]],"mmm")</f>
        <v>Apr</v>
      </c>
      <c r="U47" s="1">
        <f>MONTH(tbl_trade[[#This Row],[Date]])</f>
        <v>4</v>
      </c>
      <c r="V47" s="1" t="str">
        <f>"Q"&amp;ROUNDUP(MONTH(tbl_trade[[#This Row],[Date]])/3,0)</f>
        <v>Q2</v>
      </c>
    </row>
    <row r="48" spans="1:22" x14ac:dyDescent="0.3">
      <c r="A48" s="18">
        <v>45394</v>
      </c>
      <c r="B48" s="1" t="s">
        <v>48</v>
      </c>
      <c r="C48" s="1" t="s">
        <v>36</v>
      </c>
      <c r="D48" s="1" t="s">
        <v>37</v>
      </c>
      <c r="E48" s="1">
        <v>57129.843099999998</v>
      </c>
      <c r="F48" s="1">
        <v>57413.468500000003</v>
      </c>
      <c r="G48" s="1">
        <v>0.3</v>
      </c>
      <c r="H48" s="1">
        <v>57946.883000000002</v>
      </c>
      <c r="I48" s="1">
        <v>54880.126300000004</v>
      </c>
      <c r="J48" s="1">
        <v>7.32</v>
      </c>
      <c r="K48" s="2">
        <v>-92.407620000001344</v>
      </c>
      <c r="L48" s="1">
        <v>252.431970000001</v>
      </c>
      <c r="M48" s="1">
        <v>-0.36606940079737516</v>
      </c>
      <c r="N48" s="1" t="s">
        <v>30</v>
      </c>
      <c r="O48" s="1" t="s">
        <v>79</v>
      </c>
      <c r="P48" s="1" t="str" cm="1">
        <f t="array" ref="P48">_xlfn.IFS(tbl_trade[[#This Row],[PnL]]&gt;0,"Win",tbl_trade[[#This Row],[PnL]]&lt;0,"Loss",TRUE,"BreakEven")</f>
        <v>Loss</v>
      </c>
      <c r="Q48" s="1">
        <f>IF(tbl_trade[[#This Row],[PnL]]&gt;0,1,0)</f>
        <v>0</v>
      </c>
      <c r="R48" s="1" t="str">
        <f>TEXT(tbl_trade[[#This Row],[Date]],"yyyy-mm-dd")</f>
        <v>2024-04-12</v>
      </c>
      <c r="S48" s="1">
        <f>YEAR(tbl_trade[[#This Row],[Date]])</f>
        <v>2024</v>
      </c>
      <c r="T48" s="1" t="str">
        <f>TEXT(tbl_trade[[#This Row],[Date]],"mmm")</f>
        <v>Apr</v>
      </c>
      <c r="U48" s="1">
        <f>MONTH(tbl_trade[[#This Row],[Date]])</f>
        <v>4</v>
      </c>
      <c r="V48" s="1" t="str">
        <f>"Q"&amp;ROUNDUP(MONTH(tbl_trade[[#This Row],[Date]])/3,0)</f>
        <v>Q2</v>
      </c>
    </row>
    <row r="49" spans="1:22" x14ac:dyDescent="0.3">
      <c r="A49" s="18">
        <v>45397</v>
      </c>
      <c r="B49" s="1" t="s">
        <v>45</v>
      </c>
      <c r="C49" s="1" t="s">
        <v>25</v>
      </c>
      <c r="D49" s="1" t="s">
        <v>37</v>
      </c>
      <c r="E49" s="1">
        <v>502.51</v>
      </c>
      <c r="F49" s="1">
        <v>501.98</v>
      </c>
      <c r="G49" s="1">
        <v>20</v>
      </c>
      <c r="H49" s="1">
        <v>502.77</v>
      </c>
      <c r="I49" s="1">
        <v>501.92</v>
      </c>
      <c r="J49" s="1">
        <v>11.42</v>
      </c>
      <c r="K49" s="2">
        <v>-0.82000000000054563</v>
      </c>
      <c r="L49" s="1">
        <v>16.61999999999982</v>
      </c>
      <c r="M49" s="1">
        <v>-4.9338146811104364E-2</v>
      </c>
      <c r="N49" s="1" t="s">
        <v>43</v>
      </c>
      <c r="O49" s="1" t="s">
        <v>34</v>
      </c>
      <c r="P49" s="1" t="str" cm="1">
        <f t="array" ref="P49">_xlfn.IFS(tbl_trade[[#This Row],[PnL]]&gt;0,"Win",tbl_trade[[#This Row],[PnL]]&lt;0,"Loss",TRUE,"BreakEven")</f>
        <v>Loss</v>
      </c>
      <c r="Q49" s="1">
        <f>IF(tbl_trade[[#This Row],[PnL]]&gt;0,1,0)</f>
        <v>0</v>
      </c>
      <c r="R49" s="1" t="str">
        <f>TEXT(tbl_trade[[#This Row],[Date]],"yyyy-mm-dd")</f>
        <v>2024-04-15</v>
      </c>
      <c r="S49" s="1">
        <f>YEAR(tbl_trade[[#This Row],[Date]])</f>
        <v>2024</v>
      </c>
      <c r="T49" s="1" t="str">
        <f>TEXT(tbl_trade[[#This Row],[Date]],"mmm")</f>
        <v>Apr</v>
      </c>
      <c r="U49" s="1">
        <f>MONTH(tbl_trade[[#This Row],[Date]])</f>
        <v>4</v>
      </c>
      <c r="V49" s="1" t="str">
        <f>"Q"&amp;ROUNDUP(MONTH(tbl_trade[[#This Row],[Date]])/3,0)</f>
        <v>Q2</v>
      </c>
    </row>
    <row r="50" spans="1:22" x14ac:dyDescent="0.3">
      <c r="A50" s="18">
        <v>45399</v>
      </c>
      <c r="B50" s="1" t="s">
        <v>58</v>
      </c>
      <c r="C50" s="1" t="s">
        <v>15</v>
      </c>
      <c r="D50" s="1" t="s">
        <v>37</v>
      </c>
      <c r="E50" s="1">
        <v>1.3332999999999999</v>
      </c>
      <c r="F50" s="1">
        <v>1.3315999999999999</v>
      </c>
      <c r="G50" s="1">
        <v>30000</v>
      </c>
      <c r="H50" s="1">
        <v>1.3342000000000001</v>
      </c>
      <c r="I50" s="1">
        <v>1.3303</v>
      </c>
      <c r="J50" s="1">
        <v>25.87</v>
      </c>
      <c r="K50" s="2">
        <v>25.130000000001044</v>
      </c>
      <c r="L50" s="1">
        <v>52.870000000003685</v>
      </c>
      <c r="M50" s="1">
        <v>0.47531681482881205</v>
      </c>
      <c r="N50" s="1" t="s">
        <v>52</v>
      </c>
      <c r="O50" s="1" t="s">
        <v>68</v>
      </c>
      <c r="P50" s="1" t="str" cm="1">
        <f t="array" ref="P50">_xlfn.IFS(tbl_trade[[#This Row],[PnL]]&gt;0,"Win",tbl_trade[[#This Row],[PnL]]&lt;0,"Loss",TRUE,"BreakEven")</f>
        <v>Win</v>
      </c>
      <c r="Q50" s="1">
        <f>IF(tbl_trade[[#This Row],[PnL]]&gt;0,1,0)</f>
        <v>1</v>
      </c>
      <c r="R50" s="1" t="str">
        <f>TEXT(tbl_trade[[#This Row],[Date]],"yyyy-mm-dd")</f>
        <v>2024-04-17</v>
      </c>
      <c r="S50" s="1">
        <f>YEAR(tbl_trade[[#This Row],[Date]])</f>
        <v>2024</v>
      </c>
      <c r="T50" s="1" t="str">
        <f>TEXT(tbl_trade[[#This Row],[Date]],"mmm")</f>
        <v>Apr</v>
      </c>
      <c r="U50" s="1">
        <f>MONTH(tbl_trade[[#This Row],[Date]])</f>
        <v>4</v>
      </c>
      <c r="V50" s="1" t="str">
        <f>"Q"&amp;ROUNDUP(MONTH(tbl_trade[[#This Row],[Date]])/3,0)</f>
        <v>Q2</v>
      </c>
    </row>
    <row r="51" spans="1:22" x14ac:dyDescent="0.3">
      <c r="A51" s="18">
        <v>45404</v>
      </c>
      <c r="B51" s="1" t="s">
        <v>80</v>
      </c>
      <c r="C51" s="1" t="s">
        <v>15</v>
      </c>
      <c r="D51" s="1" t="s">
        <v>37</v>
      </c>
      <c r="E51" s="1">
        <v>0.64790000000000003</v>
      </c>
      <c r="F51" s="1">
        <v>0.64529999999999998</v>
      </c>
      <c r="G51" s="1">
        <v>40000</v>
      </c>
      <c r="H51" s="1">
        <v>0.64929999999999999</v>
      </c>
      <c r="I51" s="1">
        <v>0.64349999999999996</v>
      </c>
      <c r="J51" s="1">
        <v>27.04</v>
      </c>
      <c r="K51" s="2">
        <v>76.960000000001884</v>
      </c>
      <c r="L51" s="1">
        <v>83.039999999998273</v>
      </c>
      <c r="M51" s="1">
        <v>0.92678227360312482</v>
      </c>
      <c r="N51" s="1" t="s">
        <v>16</v>
      </c>
      <c r="O51" s="1" t="s">
        <v>44</v>
      </c>
      <c r="P51" s="1" t="str" cm="1">
        <f t="array" ref="P51">_xlfn.IFS(tbl_trade[[#This Row],[PnL]]&gt;0,"Win",tbl_trade[[#This Row],[PnL]]&lt;0,"Loss",TRUE,"BreakEven")</f>
        <v>Win</v>
      </c>
      <c r="Q51" s="1">
        <f>IF(tbl_trade[[#This Row],[PnL]]&gt;0,1,0)</f>
        <v>1</v>
      </c>
      <c r="R51" s="1" t="str">
        <f>TEXT(tbl_trade[[#This Row],[Date]],"yyyy-mm-dd")</f>
        <v>2024-04-22</v>
      </c>
      <c r="S51" s="1">
        <f>YEAR(tbl_trade[[#This Row],[Date]])</f>
        <v>2024</v>
      </c>
      <c r="T51" s="1" t="str">
        <f>TEXT(tbl_trade[[#This Row],[Date]],"mmm")</f>
        <v>Apr</v>
      </c>
      <c r="U51" s="1">
        <f>MONTH(tbl_trade[[#This Row],[Date]])</f>
        <v>4</v>
      </c>
      <c r="V51" s="1" t="str">
        <f>"Q"&amp;ROUNDUP(MONTH(tbl_trade[[#This Row],[Date]])/3,0)</f>
        <v>Q2</v>
      </c>
    </row>
    <row r="52" spans="1:22" x14ac:dyDescent="0.3">
      <c r="A52" s="18">
        <v>45407</v>
      </c>
      <c r="B52" s="1" t="s">
        <v>45</v>
      </c>
      <c r="C52" s="1" t="s">
        <v>25</v>
      </c>
      <c r="D52" s="1" t="s">
        <v>37</v>
      </c>
      <c r="E52" s="1">
        <v>470.51</v>
      </c>
      <c r="F52" s="1">
        <v>469.84</v>
      </c>
      <c r="G52" s="1">
        <v>20</v>
      </c>
      <c r="H52" s="1">
        <v>470.84</v>
      </c>
      <c r="I52" s="1">
        <v>469.57</v>
      </c>
      <c r="J52" s="1">
        <v>9.9499999999999993</v>
      </c>
      <c r="K52" s="2">
        <v>3.450000000000319</v>
      </c>
      <c r="L52" s="1">
        <v>16.549999999999681</v>
      </c>
      <c r="M52" s="1">
        <v>0.20845921450153387</v>
      </c>
      <c r="N52" s="1" t="s">
        <v>30</v>
      </c>
      <c r="O52" s="1" t="s">
        <v>53</v>
      </c>
      <c r="P52" s="1" t="str" cm="1">
        <f t="array" ref="P52">_xlfn.IFS(tbl_trade[[#This Row],[PnL]]&gt;0,"Win",tbl_trade[[#This Row],[PnL]]&lt;0,"Loss",TRUE,"BreakEven")</f>
        <v>Win</v>
      </c>
      <c r="Q52" s="1">
        <f>IF(tbl_trade[[#This Row],[PnL]]&gt;0,1,0)</f>
        <v>1</v>
      </c>
      <c r="R52" s="1" t="str">
        <f>TEXT(tbl_trade[[#This Row],[Date]],"yyyy-mm-dd")</f>
        <v>2024-04-25</v>
      </c>
      <c r="S52" s="1">
        <f>YEAR(tbl_trade[[#This Row],[Date]])</f>
        <v>2024</v>
      </c>
      <c r="T52" s="1" t="str">
        <f>TEXT(tbl_trade[[#This Row],[Date]],"mmm")</f>
        <v>Apr</v>
      </c>
      <c r="U52" s="1">
        <f>MONTH(tbl_trade[[#This Row],[Date]])</f>
        <v>4</v>
      </c>
      <c r="V52" s="1" t="str">
        <f>"Q"&amp;ROUNDUP(MONTH(tbl_trade[[#This Row],[Date]])/3,0)</f>
        <v>Q2</v>
      </c>
    </row>
    <row r="53" spans="1:22" x14ac:dyDescent="0.3">
      <c r="A53" s="18">
        <v>45411</v>
      </c>
      <c r="B53" s="1" t="s">
        <v>50</v>
      </c>
      <c r="C53" s="1" t="s">
        <v>25</v>
      </c>
      <c r="D53" s="1" t="s">
        <v>26</v>
      </c>
      <c r="E53" s="1">
        <v>179.75</v>
      </c>
      <c r="F53" s="1">
        <v>180.61</v>
      </c>
      <c r="G53" s="1">
        <v>20</v>
      </c>
      <c r="H53" s="1">
        <v>179.06</v>
      </c>
      <c r="I53" s="1">
        <v>180.97</v>
      </c>
      <c r="J53" s="1">
        <v>6.51</v>
      </c>
      <c r="K53" s="2">
        <v>10.690000000000273</v>
      </c>
      <c r="L53" s="1">
        <v>20.309999999999953</v>
      </c>
      <c r="M53" s="1">
        <v>0.52634170359430321</v>
      </c>
      <c r="N53" s="1" t="s">
        <v>33</v>
      </c>
      <c r="O53" s="1" t="s">
        <v>67</v>
      </c>
      <c r="P53" s="1" t="str" cm="1">
        <f t="array" ref="P53">_xlfn.IFS(tbl_trade[[#This Row],[PnL]]&gt;0,"Win",tbl_trade[[#This Row],[PnL]]&lt;0,"Loss",TRUE,"BreakEven")</f>
        <v>Win</v>
      </c>
      <c r="Q53" s="1">
        <f>IF(tbl_trade[[#This Row],[PnL]]&gt;0,1,0)</f>
        <v>1</v>
      </c>
      <c r="R53" s="1" t="str">
        <f>TEXT(tbl_trade[[#This Row],[Date]],"yyyy-mm-dd")</f>
        <v>2024-04-29</v>
      </c>
      <c r="S53" s="1">
        <f>YEAR(tbl_trade[[#This Row],[Date]])</f>
        <v>2024</v>
      </c>
      <c r="T53" s="1" t="str">
        <f>TEXT(tbl_trade[[#This Row],[Date]],"mmm")</f>
        <v>Apr</v>
      </c>
      <c r="U53" s="1">
        <f>MONTH(tbl_trade[[#This Row],[Date]])</f>
        <v>4</v>
      </c>
      <c r="V53" s="1" t="str">
        <f>"Q"&amp;ROUNDUP(MONTH(tbl_trade[[#This Row],[Date]])/3,0)</f>
        <v>Q2</v>
      </c>
    </row>
    <row r="54" spans="1:22" x14ac:dyDescent="0.3">
      <c r="A54" s="18">
        <v>45413</v>
      </c>
      <c r="B54" s="1" t="s">
        <v>54</v>
      </c>
      <c r="C54" s="1" t="s">
        <v>15</v>
      </c>
      <c r="D54" s="1" t="s">
        <v>26</v>
      </c>
      <c r="E54" s="1">
        <v>1.2470000000000001</v>
      </c>
      <c r="F54" s="1">
        <v>1.2464999999999999</v>
      </c>
      <c r="G54" s="1">
        <v>25000</v>
      </c>
      <c r="H54" s="1">
        <v>1.2462</v>
      </c>
      <c r="I54" s="1">
        <v>1.2497</v>
      </c>
      <c r="J54" s="1">
        <v>30.05</v>
      </c>
      <c r="K54" s="2">
        <v>-42.550000000004175</v>
      </c>
      <c r="L54" s="1">
        <v>50.050000000003351</v>
      </c>
      <c r="M54" s="1">
        <v>-0.85014985014987665</v>
      </c>
      <c r="N54" s="1" t="s">
        <v>46</v>
      </c>
      <c r="O54" s="1" t="s">
        <v>34</v>
      </c>
      <c r="P54" s="1" t="str" cm="1">
        <f t="array" ref="P54">_xlfn.IFS(tbl_trade[[#This Row],[PnL]]&gt;0,"Win",tbl_trade[[#This Row],[PnL]]&lt;0,"Loss",TRUE,"BreakEven")</f>
        <v>Loss</v>
      </c>
      <c r="Q54" s="1">
        <f>IF(tbl_trade[[#This Row],[PnL]]&gt;0,1,0)</f>
        <v>0</v>
      </c>
      <c r="R54" s="1" t="str">
        <f>TEXT(tbl_trade[[#This Row],[Date]],"yyyy-mm-dd")</f>
        <v>2024-05-01</v>
      </c>
      <c r="S54" s="1">
        <f>YEAR(tbl_trade[[#This Row],[Date]])</f>
        <v>2024</v>
      </c>
      <c r="T54" s="1" t="str">
        <f>TEXT(tbl_trade[[#This Row],[Date]],"mmm")</f>
        <v>May</v>
      </c>
      <c r="U54" s="1">
        <f>MONTH(tbl_trade[[#This Row],[Date]])</f>
        <v>5</v>
      </c>
      <c r="V54" s="1" t="str">
        <f>"Q"&amp;ROUNDUP(MONTH(tbl_trade[[#This Row],[Date]])/3,0)</f>
        <v>Q2</v>
      </c>
    </row>
    <row r="55" spans="1:22" x14ac:dyDescent="0.3">
      <c r="A55" s="18">
        <v>45415</v>
      </c>
      <c r="B55" s="1" t="s">
        <v>32</v>
      </c>
      <c r="C55" s="1" t="s">
        <v>25</v>
      </c>
      <c r="D55" s="1" t="s">
        <v>26</v>
      </c>
      <c r="E55" s="1">
        <v>182.51</v>
      </c>
      <c r="F55" s="1">
        <v>182.43</v>
      </c>
      <c r="G55" s="1">
        <v>20</v>
      </c>
      <c r="H55" s="1">
        <v>181.93</v>
      </c>
      <c r="I55" s="1">
        <v>184.25</v>
      </c>
      <c r="J55" s="1">
        <v>10.98</v>
      </c>
      <c r="K55" s="2">
        <v>-12.579999999999682</v>
      </c>
      <c r="L55" s="1">
        <v>22.579999999999682</v>
      </c>
      <c r="M55" s="1">
        <v>-0.55713020372010003</v>
      </c>
      <c r="N55" s="1" t="s">
        <v>43</v>
      </c>
      <c r="O55" s="1" t="s">
        <v>28</v>
      </c>
      <c r="P55" s="1" t="str" cm="1">
        <f t="array" ref="P55">_xlfn.IFS(tbl_trade[[#This Row],[PnL]]&gt;0,"Win",tbl_trade[[#This Row],[PnL]]&lt;0,"Loss",TRUE,"BreakEven")</f>
        <v>Loss</v>
      </c>
      <c r="Q55" s="1">
        <f>IF(tbl_trade[[#This Row],[PnL]]&gt;0,1,0)</f>
        <v>0</v>
      </c>
      <c r="R55" s="1" t="str">
        <f>TEXT(tbl_trade[[#This Row],[Date]],"yyyy-mm-dd")</f>
        <v>2024-05-03</v>
      </c>
      <c r="S55" s="1">
        <f>YEAR(tbl_trade[[#This Row],[Date]])</f>
        <v>2024</v>
      </c>
      <c r="T55" s="1" t="str">
        <f>TEXT(tbl_trade[[#This Row],[Date]],"mmm")</f>
        <v>May</v>
      </c>
      <c r="U55" s="1">
        <f>MONTH(tbl_trade[[#This Row],[Date]])</f>
        <v>5</v>
      </c>
      <c r="V55" s="1" t="str">
        <f>"Q"&amp;ROUNDUP(MONTH(tbl_trade[[#This Row],[Date]])/3,0)</f>
        <v>Q2</v>
      </c>
    </row>
    <row r="56" spans="1:22" x14ac:dyDescent="0.3">
      <c r="A56" s="18">
        <v>45418</v>
      </c>
      <c r="B56" s="1" t="s">
        <v>35</v>
      </c>
      <c r="C56" s="1" t="s">
        <v>36</v>
      </c>
      <c r="D56" s="1" t="s">
        <v>26</v>
      </c>
      <c r="E56" s="1">
        <v>0.1221</v>
      </c>
      <c r="F56" s="1">
        <v>0.13089999999999999</v>
      </c>
      <c r="G56" s="1">
        <v>10000</v>
      </c>
      <c r="H56" s="1">
        <v>0.1149</v>
      </c>
      <c r="I56" s="1">
        <v>0.1396</v>
      </c>
      <c r="J56" s="1">
        <v>16.07</v>
      </c>
      <c r="K56" s="2">
        <v>71.929999999999893</v>
      </c>
      <c r="L56" s="1">
        <v>88.07</v>
      </c>
      <c r="M56" s="1">
        <v>0.81673668672646649</v>
      </c>
      <c r="N56" s="1" t="s">
        <v>30</v>
      </c>
      <c r="O56" s="1" t="s">
        <v>49</v>
      </c>
      <c r="P56" s="1" t="str" cm="1">
        <f t="array" ref="P56">_xlfn.IFS(tbl_trade[[#This Row],[PnL]]&gt;0,"Win",tbl_trade[[#This Row],[PnL]]&lt;0,"Loss",TRUE,"BreakEven")</f>
        <v>Win</v>
      </c>
      <c r="Q56" s="1">
        <f>IF(tbl_trade[[#This Row],[PnL]]&gt;0,1,0)</f>
        <v>1</v>
      </c>
      <c r="R56" s="1" t="str">
        <f>TEXT(tbl_trade[[#This Row],[Date]],"yyyy-mm-dd")</f>
        <v>2024-05-06</v>
      </c>
      <c r="S56" s="1">
        <f>YEAR(tbl_trade[[#This Row],[Date]])</f>
        <v>2024</v>
      </c>
      <c r="T56" s="1" t="str">
        <f>TEXT(tbl_trade[[#This Row],[Date]],"mmm")</f>
        <v>May</v>
      </c>
      <c r="U56" s="1">
        <f>MONTH(tbl_trade[[#This Row],[Date]])</f>
        <v>5</v>
      </c>
      <c r="V56" s="1" t="str">
        <f>"Q"&amp;ROUNDUP(MONTH(tbl_trade[[#This Row],[Date]])/3,0)</f>
        <v>Q2</v>
      </c>
    </row>
    <row r="57" spans="1:22" x14ac:dyDescent="0.3">
      <c r="A57" s="18">
        <v>45421</v>
      </c>
      <c r="B57" s="1" t="s">
        <v>35</v>
      </c>
      <c r="C57" s="1" t="s">
        <v>36</v>
      </c>
      <c r="D57" s="1" t="s">
        <v>26</v>
      </c>
      <c r="E57" s="1">
        <v>8.1900000000000001E-2</v>
      </c>
      <c r="F57" s="1">
        <v>9.3200000000000005E-2</v>
      </c>
      <c r="G57" s="1">
        <v>10000</v>
      </c>
      <c r="H57" s="1">
        <v>7.7799999999999994E-2</v>
      </c>
      <c r="I57" s="1">
        <v>9.3600000000000003E-2</v>
      </c>
      <c r="J57" s="1">
        <v>16.899999999999999</v>
      </c>
      <c r="K57" s="2">
        <v>96.100000000000051</v>
      </c>
      <c r="L57" s="1">
        <v>57.900000000000063</v>
      </c>
      <c r="M57" s="1">
        <v>1.6597582037996537</v>
      </c>
      <c r="N57" s="1" t="s">
        <v>63</v>
      </c>
      <c r="O57" s="1" t="s">
        <v>81</v>
      </c>
      <c r="P57" s="1" t="str" cm="1">
        <f t="array" ref="P57">_xlfn.IFS(tbl_trade[[#This Row],[PnL]]&gt;0,"Win",tbl_trade[[#This Row],[PnL]]&lt;0,"Loss",TRUE,"BreakEven")</f>
        <v>Win</v>
      </c>
      <c r="Q57" s="1">
        <f>IF(tbl_trade[[#This Row],[PnL]]&gt;0,1,0)</f>
        <v>1</v>
      </c>
      <c r="R57" s="1" t="str">
        <f>TEXT(tbl_trade[[#This Row],[Date]],"yyyy-mm-dd")</f>
        <v>2024-05-09</v>
      </c>
      <c r="S57" s="1">
        <f>YEAR(tbl_trade[[#This Row],[Date]])</f>
        <v>2024</v>
      </c>
      <c r="T57" s="1" t="str">
        <f>TEXT(tbl_trade[[#This Row],[Date]],"mmm")</f>
        <v>May</v>
      </c>
      <c r="U57" s="1">
        <f>MONTH(tbl_trade[[#This Row],[Date]])</f>
        <v>5</v>
      </c>
      <c r="V57" s="1" t="str">
        <f>"Q"&amp;ROUNDUP(MONTH(tbl_trade[[#This Row],[Date]])/3,0)</f>
        <v>Q2</v>
      </c>
    </row>
    <row r="58" spans="1:22" x14ac:dyDescent="0.3">
      <c r="A58" s="18">
        <v>45425</v>
      </c>
      <c r="B58" s="1" t="s">
        <v>74</v>
      </c>
      <c r="C58" s="1" t="s">
        <v>25</v>
      </c>
      <c r="D58" s="1" t="s">
        <v>26</v>
      </c>
      <c r="E58" s="1">
        <v>159.07</v>
      </c>
      <c r="F58" s="1">
        <v>160.08000000000001</v>
      </c>
      <c r="G58" s="1">
        <v>15</v>
      </c>
      <c r="H58" s="1">
        <v>158.47</v>
      </c>
      <c r="I58" s="1">
        <v>160.33000000000001</v>
      </c>
      <c r="J58" s="1">
        <v>29.17</v>
      </c>
      <c r="K58" s="2">
        <v>-14.019999999999712</v>
      </c>
      <c r="L58" s="1">
        <v>38.169999999999916</v>
      </c>
      <c r="M58" s="1">
        <v>-0.36730416557505219</v>
      </c>
      <c r="N58" s="1" t="s">
        <v>66</v>
      </c>
      <c r="O58" s="1" t="s">
        <v>64</v>
      </c>
      <c r="P58" s="1" t="str" cm="1">
        <f t="array" ref="P58">_xlfn.IFS(tbl_trade[[#This Row],[PnL]]&gt;0,"Win",tbl_trade[[#This Row],[PnL]]&lt;0,"Loss",TRUE,"BreakEven")</f>
        <v>Loss</v>
      </c>
      <c r="Q58" s="1">
        <f>IF(tbl_trade[[#This Row],[PnL]]&gt;0,1,0)</f>
        <v>0</v>
      </c>
      <c r="R58" s="1" t="str">
        <f>TEXT(tbl_trade[[#This Row],[Date]],"yyyy-mm-dd")</f>
        <v>2024-05-13</v>
      </c>
      <c r="S58" s="1">
        <f>YEAR(tbl_trade[[#This Row],[Date]])</f>
        <v>2024</v>
      </c>
      <c r="T58" s="1" t="str">
        <f>TEXT(tbl_trade[[#This Row],[Date]],"mmm")</f>
        <v>May</v>
      </c>
      <c r="U58" s="1">
        <f>MONTH(tbl_trade[[#This Row],[Date]])</f>
        <v>5</v>
      </c>
      <c r="V58" s="1" t="str">
        <f>"Q"&amp;ROUNDUP(MONTH(tbl_trade[[#This Row],[Date]])/3,0)</f>
        <v>Q2</v>
      </c>
    </row>
    <row r="59" spans="1:22" x14ac:dyDescent="0.3">
      <c r="A59" s="18">
        <v>45428</v>
      </c>
      <c r="B59" s="1" t="s">
        <v>61</v>
      </c>
      <c r="C59" s="1" t="s">
        <v>25</v>
      </c>
      <c r="D59" s="1" t="s">
        <v>37</v>
      </c>
      <c r="E59" s="1">
        <v>252.92</v>
      </c>
      <c r="F59" s="1">
        <v>251.8</v>
      </c>
      <c r="G59" s="1">
        <v>15</v>
      </c>
      <c r="H59" s="1">
        <v>253.84</v>
      </c>
      <c r="I59" s="1">
        <v>251.52</v>
      </c>
      <c r="J59" s="1">
        <v>19.71</v>
      </c>
      <c r="K59" s="2">
        <v>-2.910000000000359</v>
      </c>
      <c r="L59" s="1">
        <v>33.51000000000024</v>
      </c>
      <c r="M59" s="1">
        <v>-8.6839749328568736E-2</v>
      </c>
      <c r="N59" s="1" t="s">
        <v>52</v>
      </c>
      <c r="O59" s="1" t="s">
        <v>55</v>
      </c>
      <c r="P59" s="1" t="str" cm="1">
        <f t="array" ref="P59">_xlfn.IFS(tbl_trade[[#This Row],[PnL]]&gt;0,"Win",tbl_trade[[#This Row],[PnL]]&lt;0,"Loss",TRUE,"BreakEven")</f>
        <v>Loss</v>
      </c>
      <c r="Q59" s="1">
        <f>IF(tbl_trade[[#This Row],[PnL]]&gt;0,1,0)</f>
        <v>0</v>
      </c>
      <c r="R59" s="1" t="str">
        <f>TEXT(tbl_trade[[#This Row],[Date]],"yyyy-mm-dd")</f>
        <v>2024-05-16</v>
      </c>
      <c r="S59" s="1">
        <f>YEAR(tbl_trade[[#This Row],[Date]])</f>
        <v>2024</v>
      </c>
      <c r="T59" s="1" t="str">
        <f>TEXT(tbl_trade[[#This Row],[Date]],"mmm")</f>
        <v>May</v>
      </c>
      <c r="U59" s="1">
        <f>MONTH(tbl_trade[[#This Row],[Date]])</f>
        <v>5</v>
      </c>
      <c r="V59" s="1" t="str">
        <f>"Q"&amp;ROUNDUP(MONTH(tbl_trade[[#This Row],[Date]])/3,0)</f>
        <v>Q2</v>
      </c>
    </row>
    <row r="60" spans="1:22" x14ac:dyDescent="0.3">
      <c r="A60" s="18">
        <v>45432</v>
      </c>
      <c r="B60" s="1" t="s">
        <v>42</v>
      </c>
      <c r="C60" s="1" t="s">
        <v>15</v>
      </c>
      <c r="D60" s="1" t="s">
        <v>37</v>
      </c>
      <c r="E60" s="1">
        <v>142.11359999999999</v>
      </c>
      <c r="F60" s="1">
        <v>142.00370000000001</v>
      </c>
      <c r="G60" s="1">
        <v>20000</v>
      </c>
      <c r="H60" s="1">
        <v>142.2286</v>
      </c>
      <c r="I60" s="1">
        <v>141.79939999999999</v>
      </c>
      <c r="J60" s="1">
        <v>28.24</v>
      </c>
      <c r="K60" s="2">
        <v>2169.7599999996382</v>
      </c>
      <c r="L60" s="1">
        <v>2328.2400000001817</v>
      </c>
      <c r="M60" s="1">
        <v>0.93193141600499474</v>
      </c>
      <c r="N60" s="1" t="s">
        <v>63</v>
      </c>
      <c r="O60" s="1" t="s">
        <v>55</v>
      </c>
      <c r="P60" s="1" t="str" cm="1">
        <f t="array" ref="P60">_xlfn.IFS(tbl_trade[[#This Row],[PnL]]&gt;0,"Win",tbl_trade[[#This Row],[PnL]]&lt;0,"Loss",TRUE,"BreakEven")</f>
        <v>Win</v>
      </c>
      <c r="Q60" s="1">
        <f>IF(tbl_trade[[#This Row],[PnL]]&gt;0,1,0)</f>
        <v>1</v>
      </c>
      <c r="R60" s="1" t="str">
        <f>TEXT(tbl_trade[[#This Row],[Date]],"yyyy-mm-dd")</f>
        <v>2024-05-20</v>
      </c>
      <c r="S60" s="1">
        <f>YEAR(tbl_trade[[#This Row],[Date]])</f>
        <v>2024</v>
      </c>
      <c r="T60" s="1" t="str">
        <f>TEXT(tbl_trade[[#This Row],[Date]],"mmm")</f>
        <v>May</v>
      </c>
      <c r="U60" s="1">
        <f>MONTH(tbl_trade[[#This Row],[Date]])</f>
        <v>5</v>
      </c>
      <c r="V60" s="1" t="str">
        <f>"Q"&amp;ROUNDUP(MONTH(tbl_trade[[#This Row],[Date]])/3,0)</f>
        <v>Q2</v>
      </c>
    </row>
    <row r="61" spans="1:22" x14ac:dyDescent="0.3">
      <c r="A61" s="18">
        <v>45434</v>
      </c>
      <c r="B61" s="1" t="s">
        <v>58</v>
      </c>
      <c r="C61" s="1" t="s">
        <v>15</v>
      </c>
      <c r="D61" s="1" t="s">
        <v>37</v>
      </c>
      <c r="E61" s="1">
        <v>1.3196000000000001</v>
      </c>
      <c r="F61" s="1">
        <v>1.3202</v>
      </c>
      <c r="G61" s="1">
        <v>30000</v>
      </c>
      <c r="H61" s="1">
        <v>1.3204</v>
      </c>
      <c r="I61" s="1">
        <v>1.3177000000000001</v>
      </c>
      <c r="J61" s="1">
        <v>22.1</v>
      </c>
      <c r="K61" s="2">
        <v>-40.099999999998019</v>
      </c>
      <c r="L61" s="1">
        <v>46.099999999997358</v>
      </c>
      <c r="M61" s="1">
        <v>-0.86984815618221945</v>
      </c>
      <c r="N61" s="1" t="s">
        <v>43</v>
      </c>
      <c r="O61" s="1" t="s">
        <v>59</v>
      </c>
      <c r="P61" s="1" t="str" cm="1">
        <f t="array" ref="P61">_xlfn.IFS(tbl_trade[[#This Row],[PnL]]&gt;0,"Win",tbl_trade[[#This Row],[PnL]]&lt;0,"Loss",TRUE,"BreakEven")</f>
        <v>Loss</v>
      </c>
      <c r="Q61" s="1">
        <f>IF(tbl_trade[[#This Row],[PnL]]&gt;0,1,0)</f>
        <v>0</v>
      </c>
      <c r="R61" s="1" t="str">
        <f>TEXT(tbl_trade[[#This Row],[Date]],"yyyy-mm-dd")</f>
        <v>2024-05-22</v>
      </c>
      <c r="S61" s="1">
        <f>YEAR(tbl_trade[[#This Row],[Date]])</f>
        <v>2024</v>
      </c>
      <c r="T61" s="1" t="str">
        <f>TEXT(tbl_trade[[#This Row],[Date]],"mmm")</f>
        <v>May</v>
      </c>
      <c r="U61" s="1">
        <f>MONTH(tbl_trade[[#This Row],[Date]])</f>
        <v>5</v>
      </c>
      <c r="V61" s="1" t="str">
        <f>"Q"&amp;ROUNDUP(MONTH(tbl_trade[[#This Row],[Date]])/3,0)</f>
        <v>Q2</v>
      </c>
    </row>
    <row r="62" spans="1:22" x14ac:dyDescent="0.3">
      <c r="A62" s="18">
        <v>45439</v>
      </c>
      <c r="B62" s="1" t="s">
        <v>80</v>
      </c>
      <c r="C62" s="1" t="s">
        <v>15</v>
      </c>
      <c r="D62" s="1" t="s">
        <v>37</v>
      </c>
      <c r="E62" s="1">
        <v>0.68110000000000004</v>
      </c>
      <c r="F62" s="1">
        <v>0.67949999999999999</v>
      </c>
      <c r="G62" s="1">
        <v>40000</v>
      </c>
      <c r="H62" s="1">
        <v>0.68179999999999996</v>
      </c>
      <c r="I62" s="1">
        <v>0.67889999999999995</v>
      </c>
      <c r="J62" s="1">
        <v>31.41</v>
      </c>
      <c r="K62" s="2">
        <v>32.590000000001837</v>
      </c>
      <c r="L62" s="1">
        <v>59.409999999996913</v>
      </c>
      <c r="M62" s="1">
        <v>0.5485608483420894</v>
      </c>
      <c r="N62" s="1" t="s">
        <v>16</v>
      </c>
      <c r="O62" s="1" t="s">
        <v>76</v>
      </c>
      <c r="P62" s="1" t="str" cm="1">
        <f t="array" ref="P62">_xlfn.IFS(tbl_trade[[#This Row],[PnL]]&gt;0,"Win",tbl_trade[[#This Row],[PnL]]&lt;0,"Loss",TRUE,"BreakEven")</f>
        <v>Win</v>
      </c>
      <c r="Q62" s="1">
        <f>IF(tbl_trade[[#This Row],[PnL]]&gt;0,1,0)</f>
        <v>1</v>
      </c>
      <c r="R62" s="1" t="str">
        <f>TEXT(tbl_trade[[#This Row],[Date]],"yyyy-mm-dd")</f>
        <v>2024-05-27</v>
      </c>
      <c r="S62" s="1">
        <f>YEAR(tbl_trade[[#This Row],[Date]])</f>
        <v>2024</v>
      </c>
      <c r="T62" s="1" t="str">
        <f>TEXT(tbl_trade[[#This Row],[Date]],"mmm")</f>
        <v>May</v>
      </c>
      <c r="U62" s="1">
        <f>MONTH(tbl_trade[[#This Row],[Date]])</f>
        <v>5</v>
      </c>
      <c r="V62" s="1" t="str">
        <f>"Q"&amp;ROUNDUP(MONTH(tbl_trade[[#This Row],[Date]])/3,0)</f>
        <v>Q2</v>
      </c>
    </row>
    <row r="63" spans="1:22" x14ac:dyDescent="0.3">
      <c r="A63" s="18">
        <v>45442</v>
      </c>
      <c r="B63" s="1" t="s">
        <v>62</v>
      </c>
      <c r="C63" s="1" t="s">
        <v>25</v>
      </c>
      <c r="D63" s="1" t="s">
        <v>26</v>
      </c>
      <c r="E63" s="1">
        <v>366.85</v>
      </c>
      <c r="F63" s="1">
        <v>366.7</v>
      </c>
      <c r="G63" s="1">
        <v>20</v>
      </c>
      <c r="H63" s="1">
        <v>366.45</v>
      </c>
      <c r="I63" s="1">
        <v>368.06</v>
      </c>
      <c r="J63" s="1">
        <v>24.38</v>
      </c>
      <c r="K63" s="2">
        <v>-27.380000000000681</v>
      </c>
      <c r="L63" s="1">
        <v>32.380000000000678</v>
      </c>
      <c r="M63" s="1">
        <v>-0.84558369363805153</v>
      </c>
      <c r="N63" s="1" t="s">
        <v>52</v>
      </c>
      <c r="O63" s="1" t="s">
        <v>65</v>
      </c>
      <c r="P63" s="1" t="str" cm="1">
        <f t="array" ref="P63">_xlfn.IFS(tbl_trade[[#This Row],[PnL]]&gt;0,"Win",tbl_trade[[#This Row],[PnL]]&lt;0,"Loss",TRUE,"BreakEven")</f>
        <v>Loss</v>
      </c>
      <c r="Q63" s="1">
        <f>IF(tbl_trade[[#This Row],[PnL]]&gt;0,1,0)</f>
        <v>0</v>
      </c>
      <c r="R63" s="1" t="str">
        <f>TEXT(tbl_trade[[#This Row],[Date]],"yyyy-mm-dd")</f>
        <v>2024-05-30</v>
      </c>
      <c r="S63" s="1">
        <f>YEAR(tbl_trade[[#This Row],[Date]])</f>
        <v>2024</v>
      </c>
      <c r="T63" s="1" t="str">
        <f>TEXT(tbl_trade[[#This Row],[Date]],"mmm")</f>
        <v>May</v>
      </c>
      <c r="U63" s="1">
        <f>MONTH(tbl_trade[[#This Row],[Date]])</f>
        <v>5</v>
      </c>
      <c r="V63" s="1" t="str">
        <f>"Q"&amp;ROUNDUP(MONTH(tbl_trade[[#This Row],[Date]])/3,0)</f>
        <v>Q2</v>
      </c>
    </row>
    <row r="64" spans="1:22" x14ac:dyDescent="0.3">
      <c r="A64" s="18">
        <v>45446</v>
      </c>
      <c r="B64" s="1" t="s">
        <v>48</v>
      </c>
      <c r="C64" s="1" t="s">
        <v>36</v>
      </c>
      <c r="D64" s="1" t="s">
        <v>26</v>
      </c>
      <c r="E64" s="1">
        <v>44647.892</v>
      </c>
      <c r="F64" s="1">
        <v>44277.639900000002</v>
      </c>
      <c r="G64" s="1">
        <v>0.3</v>
      </c>
      <c r="H64" s="1">
        <v>44002.927199999998</v>
      </c>
      <c r="I64" s="1">
        <v>46365.504999999997</v>
      </c>
      <c r="J64" s="1">
        <v>20.93</v>
      </c>
      <c r="K64" s="2">
        <v>-132.00562999999937</v>
      </c>
      <c r="L64" s="1">
        <v>214.41944000000046</v>
      </c>
      <c r="M64" s="1">
        <v>-0.61564207984126385</v>
      </c>
      <c r="N64" s="1" t="s">
        <v>40</v>
      </c>
      <c r="O64" s="1" t="s">
        <v>81</v>
      </c>
      <c r="P64" s="1" t="str" cm="1">
        <f t="array" ref="P64">_xlfn.IFS(tbl_trade[[#This Row],[PnL]]&gt;0,"Win",tbl_trade[[#This Row],[PnL]]&lt;0,"Loss",TRUE,"BreakEven")</f>
        <v>Loss</v>
      </c>
      <c r="Q64" s="1">
        <f>IF(tbl_trade[[#This Row],[PnL]]&gt;0,1,0)</f>
        <v>0</v>
      </c>
      <c r="R64" s="1" t="str">
        <f>TEXT(tbl_trade[[#This Row],[Date]],"yyyy-mm-dd")</f>
        <v>2024-06-03</v>
      </c>
      <c r="S64" s="1">
        <f>YEAR(tbl_trade[[#This Row],[Date]])</f>
        <v>2024</v>
      </c>
      <c r="T64" s="1" t="str">
        <f>TEXT(tbl_trade[[#This Row],[Date]],"mmm")</f>
        <v>Jun</v>
      </c>
      <c r="U64" s="1">
        <f>MONTH(tbl_trade[[#This Row],[Date]])</f>
        <v>6</v>
      </c>
      <c r="V64" s="1" t="str">
        <f>"Q"&amp;ROUNDUP(MONTH(tbl_trade[[#This Row],[Date]])/3,0)</f>
        <v>Q2</v>
      </c>
    </row>
    <row r="65" spans="1:22" x14ac:dyDescent="0.3">
      <c r="A65" s="18">
        <v>45448</v>
      </c>
      <c r="B65" s="1" t="s">
        <v>82</v>
      </c>
      <c r="C65" s="1" t="s">
        <v>36</v>
      </c>
      <c r="D65" s="1" t="s">
        <v>37</v>
      </c>
      <c r="E65" s="1">
        <v>357.13670000000002</v>
      </c>
      <c r="F65" s="1">
        <v>340.57909999999998</v>
      </c>
      <c r="G65" s="1">
        <v>5</v>
      </c>
      <c r="H65" s="1">
        <v>364.44209999999998</v>
      </c>
      <c r="I65" s="1">
        <v>335.64010000000002</v>
      </c>
      <c r="J65" s="1">
        <v>27.29</v>
      </c>
      <c r="K65" s="2">
        <v>55.498000000000182</v>
      </c>
      <c r="L65" s="1">
        <v>63.816999999999815</v>
      </c>
      <c r="M65" s="1">
        <v>0.8696428851246587</v>
      </c>
      <c r="N65" s="1" t="s">
        <v>43</v>
      </c>
      <c r="O65" s="1" t="s">
        <v>64</v>
      </c>
      <c r="P65" s="1" t="str" cm="1">
        <f t="array" ref="P65">_xlfn.IFS(tbl_trade[[#This Row],[PnL]]&gt;0,"Win",tbl_trade[[#This Row],[PnL]]&lt;0,"Loss",TRUE,"BreakEven")</f>
        <v>Win</v>
      </c>
      <c r="Q65" s="1">
        <f>IF(tbl_trade[[#This Row],[PnL]]&gt;0,1,0)</f>
        <v>1</v>
      </c>
      <c r="R65" s="1" t="str">
        <f>TEXT(tbl_trade[[#This Row],[Date]],"yyyy-mm-dd")</f>
        <v>2024-06-05</v>
      </c>
      <c r="S65" s="1">
        <f>YEAR(tbl_trade[[#This Row],[Date]])</f>
        <v>2024</v>
      </c>
      <c r="T65" s="1" t="str">
        <f>TEXT(tbl_trade[[#This Row],[Date]],"mmm")</f>
        <v>Jun</v>
      </c>
      <c r="U65" s="1">
        <f>MONTH(tbl_trade[[#This Row],[Date]])</f>
        <v>6</v>
      </c>
      <c r="V65" s="1" t="str">
        <f>"Q"&amp;ROUNDUP(MONTH(tbl_trade[[#This Row],[Date]])/3,0)</f>
        <v>Q2</v>
      </c>
    </row>
    <row r="66" spans="1:22" x14ac:dyDescent="0.3">
      <c r="A66" s="18">
        <v>45453</v>
      </c>
      <c r="B66" s="1" t="s">
        <v>72</v>
      </c>
      <c r="C66" s="1" t="s">
        <v>25</v>
      </c>
      <c r="D66" s="1" t="s">
        <v>26</v>
      </c>
      <c r="E66" s="1">
        <v>386.52</v>
      </c>
      <c r="F66" s="1">
        <v>385.53</v>
      </c>
      <c r="G66" s="1">
        <v>20</v>
      </c>
      <c r="H66" s="1">
        <v>385.19</v>
      </c>
      <c r="I66" s="1">
        <v>389.91</v>
      </c>
      <c r="J66" s="1">
        <v>8.02</v>
      </c>
      <c r="K66" s="2">
        <v>-27.820000000000181</v>
      </c>
      <c r="L66" s="1">
        <v>34.619999999999678</v>
      </c>
      <c r="M66" s="1">
        <v>-0.80358174465628074</v>
      </c>
      <c r="N66" s="1" t="s">
        <v>30</v>
      </c>
      <c r="O66" s="1" t="s">
        <v>38</v>
      </c>
      <c r="P66" s="1" t="str" cm="1">
        <f t="array" ref="P66">_xlfn.IFS(tbl_trade[[#This Row],[PnL]]&gt;0,"Win",tbl_trade[[#This Row],[PnL]]&lt;0,"Loss",TRUE,"BreakEven")</f>
        <v>Loss</v>
      </c>
      <c r="Q66" s="1">
        <f>IF(tbl_trade[[#This Row],[PnL]]&gt;0,1,0)</f>
        <v>0</v>
      </c>
      <c r="R66" s="1" t="str">
        <f>TEXT(tbl_trade[[#This Row],[Date]],"yyyy-mm-dd")</f>
        <v>2024-06-10</v>
      </c>
      <c r="S66" s="1">
        <f>YEAR(tbl_trade[[#This Row],[Date]])</f>
        <v>2024</v>
      </c>
      <c r="T66" s="1" t="str">
        <f>TEXT(tbl_trade[[#This Row],[Date]],"mmm")</f>
        <v>Jun</v>
      </c>
      <c r="U66" s="1">
        <f>MONTH(tbl_trade[[#This Row],[Date]])</f>
        <v>6</v>
      </c>
      <c r="V66" s="1" t="str">
        <f>"Q"&amp;ROUNDUP(MONTH(tbl_trade[[#This Row],[Date]])/3,0)</f>
        <v>Q2</v>
      </c>
    </row>
    <row r="67" spans="1:22" x14ac:dyDescent="0.3">
      <c r="A67" s="18">
        <v>45454</v>
      </c>
      <c r="B67" s="1" t="s">
        <v>69</v>
      </c>
      <c r="C67" s="1" t="s">
        <v>15</v>
      </c>
      <c r="D67" s="1" t="s">
        <v>26</v>
      </c>
      <c r="E67" s="1">
        <v>1.0711999999999999</v>
      </c>
      <c r="F67" s="1">
        <v>1.0706</v>
      </c>
      <c r="G67" s="1">
        <v>30000</v>
      </c>
      <c r="H67" s="1">
        <v>1.0706</v>
      </c>
      <c r="I67" s="1">
        <v>1.0722</v>
      </c>
      <c r="J67" s="1">
        <v>13.76</v>
      </c>
      <c r="K67" s="2">
        <v>-31.759999999998016</v>
      </c>
      <c r="L67" s="1">
        <v>31.759999999998016</v>
      </c>
      <c r="M67" s="1">
        <v>-1</v>
      </c>
      <c r="N67" s="1" t="s">
        <v>43</v>
      </c>
      <c r="O67" s="1" t="s">
        <v>73</v>
      </c>
      <c r="P67" s="1" t="str" cm="1">
        <f t="array" ref="P67">_xlfn.IFS(tbl_trade[[#This Row],[PnL]]&gt;0,"Win",tbl_trade[[#This Row],[PnL]]&lt;0,"Loss",TRUE,"BreakEven")</f>
        <v>Loss</v>
      </c>
      <c r="Q67" s="1">
        <f>IF(tbl_trade[[#This Row],[PnL]]&gt;0,1,0)</f>
        <v>0</v>
      </c>
      <c r="R67" s="1" t="str">
        <f>TEXT(tbl_trade[[#This Row],[Date]],"yyyy-mm-dd")</f>
        <v>2024-06-11</v>
      </c>
      <c r="S67" s="1">
        <f>YEAR(tbl_trade[[#This Row],[Date]])</f>
        <v>2024</v>
      </c>
      <c r="T67" s="1" t="str">
        <f>TEXT(tbl_trade[[#This Row],[Date]],"mmm")</f>
        <v>Jun</v>
      </c>
      <c r="U67" s="1">
        <f>MONTH(tbl_trade[[#This Row],[Date]])</f>
        <v>6</v>
      </c>
      <c r="V67" s="1" t="str">
        <f>"Q"&amp;ROUNDUP(MONTH(tbl_trade[[#This Row],[Date]])/3,0)</f>
        <v>Q2</v>
      </c>
    </row>
    <row r="68" spans="1:22" x14ac:dyDescent="0.3">
      <c r="A68" s="18">
        <v>45455</v>
      </c>
      <c r="B68" s="1" t="s">
        <v>83</v>
      </c>
      <c r="C68" s="1" t="s">
        <v>36</v>
      </c>
      <c r="D68" s="1" t="s">
        <v>26</v>
      </c>
      <c r="E68" s="1">
        <v>2511.8108000000002</v>
      </c>
      <c r="F68" s="1">
        <v>2610.2923999999998</v>
      </c>
      <c r="G68" s="1">
        <v>1.5</v>
      </c>
      <c r="H68" s="1">
        <v>2444.5542999999998</v>
      </c>
      <c r="I68" s="1">
        <v>2742.5675000000001</v>
      </c>
      <c r="J68" s="1">
        <v>30.85</v>
      </c>
      <c r="K68" s="2">
        <v>116.87239999999943</v>
      </c>
      <c r="L68" s="1">
        <v>131.73475000000062</v>
      </c>
      <c r="M68" s="1">
        <v>0.88717973048112886</v>
      </c>
      <c r="N68" s="1" t="s">
        <v>16</v>
      </c>
      <c r="O68" s="1" t="s">
        <v>67</v>
      </c>
      <c r="P68" s="1" t="str" cm="1">
        <f t="array" ref="P68">_xlfn.IFS(tbl_trade[[#This Row],[PnL]]&gt;0,"Win",tbl_trade[[#This Row],[PnL]]&lt;0,"Loss",TRUE,"BreakEven")</f>
        <v>Win</v>
      </c>
      <c r="Q68" s="1">
        <f>IF(tbl_trade[[#This Row],[PnL]]&gt;0,1,0)</f>
        <v>1</v>
      </c>
      <c r="R68" s="1" t="str">
        <f>TEXT(tbl_trade[[#This Row],[Date]],"yyyy-mm-dd")</f>
        <v>2024-06-12</v>
      </c>
      <c r="S68" s="1">
        <f>YEAR(tbl_trade[[#This Row],[Date]])</f>
        <v>2024</v>
      </c>
      <c r="T68" s="1" t="str">
        <f>TEXT(tbl_trade[[#This Row],[Date]],"mmm")</f>
        <v>Jun</v>
      </c>
      <c r="U68" s="1">
        <f>MONTH(tbl_trade[[#This Row],[Date]])</f>
        <v>6</v>
      </c>
      <c r="V68" s="1" t="str">
        <f>"Q"&amp;ROUNDUP(MONTH(tbl_trade[[#This Row],[Date]])/3,0)</f>
        <v>Q2</v>
      </c>
    </row>
    <row r="69" spans="1:22" x14ac:dyDescent="0.3">
      <c r="A69" s="18">
        <v>45456</v>
      </c>
      <c r="B69" s="1" t="s">
        <v>29</v>
      </c>
      <c r="C69" s="1" t="s">
        <v>25</v>
      </c>
      <c r="D69" s="1" t="s">
        <v>37</v>
      </c>
      <c r="E69" s="1">
        <v>544.26</v>
      </c>
      <c r="F69" s="1">
        <v>545</v>
      </c>
      <c r="G69" s="1">
        <v>10</v>
      </c>
      <c r="H69" s="1">
        <v>545.04</v>
      </c>
      <c r="I69" s="1">
        <v>541.82000000000005</v>
      </c>
      <c r="J69" s="1">
        <v>7.56</v>
      </c>
      <c r="K69" s="2">
        <v>-14.96000000000009</v>
      </c>
      <c r="L69" s="1">
        <v>15.359999999999726</v>
      </c>
      <c r="M69" s="1">
        <v>-0.97395833333335657</v>
      </c>
      <c r="N69" s="1" t="s">
        <v>46</v>
      </c>
      <c r="O69" s="1" t="s">
        <v>75</v>
      </c>
      <c r="P69" s="1" t="str" cm="1">
        <f t="array" ref="P69">_xlfn.IFS(tbl_trade[[#This Row],[PnL]]&gt;0,"Win",tbl_trade[[#This Row],[PnL]]&lt;0,"Loss",TRUE,"BreakEven")</f>
        <v>Loss</v>
      </c>
      <c r="Q69" s="1">
        <f>IF(tbl_trade[[#This Row],[PnL]]&gt;0,1,0)</f>
        <v>0</v>
      </c>
      <c r="R69" s="1" t="str">
        <f>TEXT(tbl_trade[[#This Row],[Date]],"yyyy-mm-dd")</f>
        <v>2024-06-13</v>
      </c>
      <c r="S69" s="1">
        <f>YEAR(tbl_trade[[#This Row],[Date]])</f>
        <v>2024</v>
      </c>
      <c r="T69" s="1" t="str">
        <f>TEXT(tbl_trade[[#This Row],[Date]],"mmm")</f>
        <v>Jun</v>
      </c>
      <c r="U69" s="1">
        <f>MONTH(tbl_trade[[#This Row],[Date]])</f>
        <v>6</v>
      </c>
      <c r="V69" s="1" t="str">
        <f>"Q"&amp;ROUNDUP(MONTH(tbl_trade[[#This Row],[Date]])/3,0)</f>
        <v>Q2</v>
      </c>
    </row>
    <row r="70" spans="1:22" x14ac:dyDescent="0.3">
      <c r="A70" s="18">
        <v>45457</v>
      </c>
      <c r="B70" s="1" t="s">
        <v>24</v>
      </c>
      <c r="C70" s="1" t="s">
        <v>25</v>
      </c>
      <c r="D70" s="1" t="s">
        <v>37</v>
      </c>
      <c r="E70" s="1">
        <v>413.26</v>
      </c>
      <c r="F70" s="1">
        <v>412.04</v>
      </c>
      <c r="G70" s="1">
        <v>15</v>
      </c>
      <c r="H70" s="1">
        <v>413.98</v>
      </c>
      <c r="I70" s="1">
        <v>411.53</v>
      </c>
      <c r="J70" s="1">
        <v>30.8</v>
      </c>
      <c r="K70" s="2">
        <v>-12.500000000000444</v>
      </c>
      <c r="L70" s="1">
        <v>41.600000000000406</v>
      </c>
      <c r="M70" s="1">
        <v>-0.30048076923077699</v>
      </c>
      <c r="N70" s="1" t="s">
        <v>66</v>
      </c>
      <c r="O70" s="1" t="s">
        <v>56</v>
      </c>
      <c r="P70" s="1" t="str" cm="1">
        <f t="array" ref="P70">_xlfn.IFS(tbl_trade[[#This Row],[PnL]]&gt;0,"Win",tbl_trade[[#This Row],[PnL]]&lt;0,"Loss",TRUE,"BreakEven")</f>
        <v>Loss</v>
      </c>
      <c r="Q70" s="1">
        <f>IF(tbl_trade[[#This Row],[PnL]]&gt;0,1,0)</f>
        <v>0</v>
      </c>
      <c r="R70" s="1" t="str">
        <f>TEXT(tbl_trade[[#This Row],[Date]],"yyyy-mm-dd")</f>
        <v>2024-06-14</v>
      </c>
      <c r="S70" s="1">
        <f>YEAR(tbl_trade[[#This Row],[Date]])</f>
        <v>2024</v>
      </c>
      <c r="T70" s="1" t="str">
        <f>TEXT(tbl_trade[[#This Row],[Date]],"mmm")</f>
        <v>Jun</v>
      </c>
      <c r="U70" s="1">
        <f>MONTH(tbl_trade[[#This Row],[Date]])</f>
        <v>6</v>
      </c>
      <c r="V70" s="1" t="str">
        <f>"Q"&amp;ROUNDUP(MONTH(tbl_trade[[#This Row],[Date]])/3,0)</f>
        <v>Q2</v>
      </c>
    </row>
    <row r="71" spans="1:22" x14ac:dyDescent="0.3">
      <c r="A71" s="18">
        <v>45460</v>
      </c>
      <c r="B71" s="1" t="s">
        <v>69</v>
      </c>
      <c r="C71" s="1" t="s">
        <v>15</v>
      </c>
      <c r="D71" s="1" t="s">
        <v>26</v>
      </c>
      <c r="E71" s="1">
        <v>1.0569</v>
      </c>
      <c r="F71" s="1">
        <v>1.0559000000000001</v>
      </c>
      <c r="G71" s="1">
        <v>30000</v>
      </c>
      <c r="H71" s="1">
        <v>1.0558000000000001</v>
      </c>
      <c r="I71" s="1">
        <v>1.0590999999999999</v>
      </c>
      <c r="J71" s="1">
        <v>12.2</v>
      </c>
      <c r="K71" s="2">
        <v>-42.199999999996692</v>
      </c>
      <c r="L71" s="1">
        <v>45.199999999996365</v>
      </c>
      <c r="M71" s="1">
        <v>-0.93362831858407269</v>
      </c>
      <c r="N71" s="1" t="s">
        <v>66</v>
      </c>
      <c r="O71" s="1" t="s">
        <v>38</v>
      </c>
      <c r="P71" s="1" t="str" cm="1">
        <f t="array" ref="P71">_xlfn.IFS(tbl_trade[[#This Row],[PnL]]&gt;0,"Win",tbl_trade[[#This Row],[PnL]]&lt;0,"Loss",TRUE,"BreakEven")</f>
        <v>Loss</v>
      </c>
      <c r="Q71" s="1">
        <f>IF(tbl_trade[[#This Row],[PnL]]&gt;0,1,0)</f>
        <v>0</v>
      </c>
      <c r="R71" s="1" t="str">
        <f>TEXT(tbl_trade[[#This Row],[Date]],"yyyy-mm-dd")</f>
        <v>2024-06-17</v>
      </c>
      <c r="S71" s="1">
        <f>YEAR(tbl_trade[[#This Row],[Date]])</f>
        <v>2024</v>
      </c>
      <c r="T71" s="1" t="str">
        <f>TEXT(tbl_trade[[#This Row],[Date]],"mmm")</f>
        <v>Jun</v>
      </c>
      <c r="U71" s="1">
        <f>MONTH(tbl_trade[[#This Row],[Date]])</f>
        <v>6</v>
      </c>
      <c r="V71" s="1" t="str">
        <f>"Q"&amp;ROUNDUP(MONTH(tbl_trade[[#This Row],[Date]])/3,0)</f>
        <v>Q2</v>
      </c>
    </row>
    <row r="72" spans="1:22" x14ac:dyDescent="0.3">
      <c r="A72" s="18">
        <v>45463</v>
      </c>
      <c r="B72" s="1" t="s">
        <v>29</v>
      </c>
      <c r="C72" s="1" t="s">
        <v>25</v>
      </c>
      <c r="D72" s="1" t="s">
        <v>26</v>
      </c>
      <c r="E72" s="1">
        <v>512.63</v>
      </c>
      <c r="F72" s="1">
        <v>514.16999999999996</v>
      </c>
      <c r="G72" s="1">
        <v>10</v>
      </c>
      <c r="H72" s="1">
        <v>511.68</v>
      </c>
      <c r="I72" s="1">
        <v>514.49</v>
      </c>
      <c r="J72" s="1">
        <v>26.09</v>
      </c>
      <c r="K72" s="2">
        <v>-10.690000000000364</v>
      </c>
      <c r="L72" s="1">
        <v>35.58999999999989</v>
      </c>
      <c r="M72" s="1">
        <v>-0.3003652711435908</v>
      </c>
      <c r="N72" s="1" t="s">
        <v>16</v>
      </c>
      <c r="O72" s="1" t="s">
        <v>55</v>
      </c>
      <c r="P72" s="1" t="str" cm="1">
        <f t="array" ref="P72">_xlfn.IFS(tbl_trade[[#This Row],[PnL]]&gt;0,"Win",tbl_trade[[#This Row],[PnL]]&lt;0,"Loss",TRUE,"BreakEven")</f>
        <v>Loss</v>
      </c>
      <c r="Q72" s="1">
        <f>IF(tbl_trade[[#This Row],[PnL]]&gt;0,1,0)</f>
        <v>0</v>
      </c>
      <c r="R72" s="1" t="str">
        <f>TEXT(tbl_trade[[#This Row],[Date]],"yyyy-mm-dd")</f>
        <v>2024-06-20</v>
      </c>
      <c r="S72" s="1">
        <f>YEAR(tbl_trade[[#This Row],[Date]])</f>
        <v>2024</v>
      </c>
      <c r="T72" s="1" t="str">
        <f>TEXT(tbl_trade[[#This Row],[Date]],"mmm")</f>
        <v>Jun</v>
      </c>
      <c r="U72" s="1">
        <f>MONTH(tbl_trade[[#This Row],[Date]])</f>
        <v>6</v>
      </c>
      <c r="V72" s="1" t="str">
        <f>"Q"&amp;ROUNDUP(MONTH(tbl_trade[[#This Row],[Date]])/3,0)</f>
        <v>Q2</v>
      </c>
    </row>
    <row r="73" spans="1:22" x14ac:dyDescent="0.3">
      <c r="A73" s="18">
        <v>45467</v>
      </c>
      <c r="B73" s="1" t="s">
        <v>29</v>
      </c>
      <c r="C73" s="1" t="s">
        <v>25</v>
      </c>
      <c r="D73" s="1" t="s">
        <v>26</v>
      </c>
      <c r="E73" s="1">
        <v>597.80999999999995</v>
      </c>
      <c r="F73" s="1">
        <v>599.25</v>
      </c>
      <c r="G73" s="1">
        <v>10</v>
      </c>
      <c r="H73" s="1">
        <v>596.25</v>
      </c>
      <c r="I73" s="1">
        <v>600.77</v>
      </c>
      <c r="J73" s="1">
        <v>11.74</v>
      </c>
      <c r="K73" s="2">
        <v>2.6600000000005455</v>
      </c>
      <c r="L73" s="1">
        <v>27.339999999999456</v>
      </c>
      <c r="M73" s="1">
        <v>9.7293343087073825E-2</v>
      </c>
      <c r="N73" s="1" t="s">
        <v>27</v>
      </c>
      <c r="O73" s="1" t="s">
        <v>60</v>
      </c>
      <c r="P73" s="1" t="str" cm="1">
        <f t="array" ref="P73">_xlfn.IFS(tbl_trade[[#This Row],[PnL]]&gt;0,"Win",tbl_trade[[#This Row],[PnL]]&lt;0,"Loss",TRUE,"BreakEven")</f>
        <v>Win</v>
      </c>
      <c r="Q73" s="1">
        <f>IF(tbl_trade[[#This Row],[PnL]]&gt;0,1,0)</f>
        <v>1</v>
      </c>
      <c r="R73" s="1" t="str">
        <f>TEXT(tbl_trade[[#This Row],[Date]],"yyyy-mm-dd")</f>
        <v>2024-06-24</v>
      </c>
      <c r="S73" s="1">
        <f>YEAR(tbl_trade[[#This Row],[Date]])</f>
        <v>2024</v>
      </c>
      <c r="T73" s="1" t="str">
        <f>TEXT(tbl_trade[[#This Row],[Date]],"mmm")</f>
        <v>Jun</v>
      </c>
      <c r="U73" s="1">
        <f>MONTH(tbl_trade[[#This Row],[Date]])</f>
        <v>6</v>
      </c>
      <c r="V73" s="1" t="str">
        <f>"Q"&amp;ROUNDUP(MONTH(tbl_trade[[#This Row],[Date]])/3,0)</f>
        <v>Q2</v>
      </c>
    </row>
    <row r="74" spans="1:22" x14ac:dyDescent="0.3">
      <c r="A74" s="18">
        <v>45468</v>
      </c>
      <c r="B74" s="1" t="s">
        <v>62</v>
      </c>
      <c r="C74" s="1" t="s">
        <v>25</v>
      </c>
      <c r="D74" s="1" t="s">
        <v>26</v>
      </c>
      <c r="E74" s="1">
        <v>373.27</v>
      </c>
      <c r="F74" s="1">
        <v>373.94</v>
      </c>
      <c r="G74" s="1">
        <v>20</v>
      </c>
      <c r="H74" s="1">
        <v>372.77</v>
      </c>
      <c r="I74" s="1">
        <v>374.59</v>
      </c>
      <c r="J74" s="1">
        <v>8.73</v>
      </c>
      <c r="K74" s="2">
        <v>4.6700000000003179</v>
      </c>
      <c r="L74" s="1">
        <v>18.73</v>
      </c>
      <c r="M74" s="1">
        <v>0.24933262146291071</v>
      </c>
      <c r="N74" s="1" t="s">
        <v>40</v>
      </c>
      <c r="O74" s="1" t="s">
        <v>41</v>
      </c>
      <c r="P74" s="1" t="str" cm="1">
        <f t="array" ref="P74">_xlfn.IFS(tbl_trade[[#This Row],[PnL]]&gt;0,"Win",tbl_trade[[#This Row],[PnL]]&lt;0,"Loss",TRUE,"BreakEven")</f>
        <v>Win</v>
      </c>
      <c r="Q74" s="1">
        <f>IF(tbl_trade[[#This Row],[PnL]]&gt;0,1,0)</f>
        <v>1</v>
      </c>
      <c r="R74" s="1" t="str">
        <f>TEXT(tbl_trade[[#This Row],[Date]],"yyyy-mm-dd")</f>
        <v>2024-06-25</v>
      </c>
      <c r="S74" s="1">
        <f>YEAR(tbl_trade[[#This Row],[Date]])</f>
        <v>2024</v>
      </c>
      <c r="T74" s="1" t="str">
        <f>TEXT(tbl_trade[[#This Row],[Date]],"mmm")</f>
        <v>Jun</v>
      </c>
      <c r="U74" s="1">
        <f>MONTH(tbl_trade[[#This Row],[Date]])</f>
        <v>6</v>
      </c>
      <c r="V74" s="1" t="str">
        <f>"Q"&amp;ROUNDUP(MONTH(tbl_trade[[#This Row],[Date]])/3,0)</f>
        <v>Q2</v>
      </c>
    </row>
    <row r="75" spans="1:22" x14ac:dyDescent="0.3">
      <c r="A75" s="18">
        <v>45471</v>
      </c>
      <c r="B75" s="1" t="s">
        <v>69</v>
      </c>
      <c r="C75" s="1" t="s">
        <v>15</v>
      </c>
      <c r="D75" s="1" t="s">
        <v>37</v>
      </c>
      <c r="E75" s="1">
        <v>1.0878000000000001</v>
      </c>
      <c r="F75" s="1">
        <v>1.0862000000000001</v>
      </c>
      <c r="G75" s="1">
        <v>30000</v>
      </c>
      <c r="H75" s="1">
        <v>1.0889</v>
      </c>
      <c r="I75" s="1">
        <v>1.0842000000000001</v>
      </c>
      <c r="J75" s="1">
        <v>23.11</v>
      </c>
      <c r="K75" s="2">
        <v>24.890000000001379</v>
      </c>
      <c r="L75" s="1">
        <v>56.109999999996361</v>
      </c>
      <c r="M75" s="1">
        <v>0.44359294243455699</v>
      </c>
      <c r="N75" s="1" t="s">
        <v>27</v>
      </c>
      <c r="O75" s="1" t="s">
        <v>31</v>
      </c>
      <c r="P75" s="1" t="str" cm="1">
        <f t="array" ref="P75">_xlfn.IFS(tbl_trade[[#This Row],[PnL]]&gt;0,"Win",tbl_trade[[#This Row],[PnL]]&lt;0,"Loss",TRUE,"BreakEven")</f>
        <v>Win</v>
      </c>
      <c r="Q75" s="1">
        <f>IF(tbl_trade[[#This Row],[PnL]]&gt;0,1,0)</f>
        <v>1</v>
      </c>
      <c r="R75" s="1" t="str">
        <f>TEXT(tbl_trade[[#This Row],[Date]],"yyyy-mm-dd")</f>
        <v>2024-06-28</v>
      </c>
      <c r="S75" s="1">
        <f>YEAR(tbl_trade[[#This Row],[Date]])</f>
        <v>2024</v>
      </c>
      <c r="T75" s="1" t="str">
        <f>TEXT(tbl_trade[[#This Row],[Date]],"mmm")</f>
        <v>Jun</v>
      </c>
      <c r="U75" s="1">
        <f>MONTH(tbl_trade[[#This Row],[Date]])</f>
        <v>6</v>
      </c>
      <c r="V75" s="1" t="str">
        <f>"Q"&amp;ROUNDUP(MONTH(tbl_trade[[#This Row],[Date]])/3,0)</f>
        <v>Q2</v>
      </c>
    </row>
    <row r="76" spans="1:22" x14ac:dyDescent="0.3">
      <c r="A76" s="18">
        <v>45474</v>
      </c>
      <c r="B76" s="1" t="s">
        <v>29</v>
      </c>
      <c r="C76" s="1" t="s">
        <v>25</v>
      </c>
      <c r="D76" s="1" t="s">
        <v>26</v>
      </c>
      <c r="E76" s="1">
        <v>637.70000000000005</v>
      </c>
      <c r="F76" s="1">
        <v>636.34</v>
      </c>
      <c r="G76" s="1">
        <v>10</v>
      </c>
      <c r="H76" s="1">
        <v>636.29</v>
      </c>
      <c r="I76" s="1">
        <v>640.58000000000004</v>
      </c>
      <c r="J76" s="1">
        <v>27.69</v>
      </c>
      <c r="K76" s="2">
        <v>-41.290000000000134</v>
      </c>
      <c r="L76" s="1">
        <v>41.790000000000816</v>
      </c>
      <c r="M76" s="1">
        <v>-0.98803541517107751</v>
      </c>
      <c r="N76" s="1" t="s">
        <v>66</v>
      </c>
      <c r="O76" s="1" t="s">
        <v>67</v>
      </c>
      <c r="P76" s="1" t="str" cm="1">
        <f t="array" ref="P76">_xlfn.IFS(tbl_trade[[#This Row],[PnL]]&gt;0,"Win",tbl_trade[[#This Row],[PnL]]&lt;0,"Loss",TRUE,"BreakEven")</f>
        <v>Loss</v>
      </c>
      <c r="Q76" s="1">
        <f>IF(tbl_trade[[#This Row],[PnL]]&gt;0,1,0)</f>
        <v>0</v>
      </c>
      <c r="R76" s="1" t="str">
        <f>TEXT(tbl_trade[[#This Row],[Date]],"yyyy-mm-dd")</f>
        <v>2024-07-01</v>
      </c>
      <c r="S76" s="1">
        <f>YEAR(tbl_trade[[#This Row],[Date]])</f>
        <v>2024</v>
      </c>
      <c r="T76" s="1" t="str">
        <f>TEXT(tbl_trade[[#This Row],[Date]],"mmm")</f>
        <v>Jul</v>
      </c>
      <c r="U76" s="1">
        <f>MONTH(tbl_trade[[#This Row],[Date]])</f>
        <v>7</v>
      </c>
      <c r="V76" s="1" t="str">
        <f>"Q"&amp;ROUNDUP(MONTH(tbl_trade[[#This Row],[Date]])/3,0)</f>
        <v>Q3</v>
      </c>
    </row>
    <row r="77" spans="1:22" x14ac:dyDescent="0.3">
      <c r="A77" s="18">
        <v>45476</v>
      </c>
      <c r="B77" s="1" t="s">
        <v>78</v>
      </c>
      <c r="C77" s="1" t="s">
        <v>36</v>
      </c>
      <c r="D77" s="1" t="s">
        <v>37</v>
      </c>
      <c r="E77" s="1">
        <v>179.69450000000001</v>
      </c>
      <c r="F77" s="1">
        <v>165.2499</v>
      </c>
      <c r="G77" s="1">
        <v>10</v>
      </c>
      <c r="H77" s="1">
        <v>186.26570000000001</v>
      </c>
      <c r="I77" s="1">
        <v>157.102</v>
      </c>
      <c r="J77" s="1">
        <v>17.25</v>
      </c>
      <c r="K77" s="2">
        <v>127.19600000000008</v>
      </c>
      <c r="L77" s="1">
        <v>82.962000000000046</v>
      </c>
      <c r="M77" s="1">
        <v>1.5331838673127458</v>
      </c>
      <c r="N77" s="1" t="s">
        <v>27</v>
      </c>
      <c r="O77" s="1" t="s">
        <v>73</v>
      </c>
      <c r="P77" s="1" t="str" cm="1">
        <f t="array" ref="P77">_xlfn.IFS(tbl_trade[[#This Row],[PnL]]&gt;0,"Win",tbl_trade[[#This Row],[PnL]]&lt;0,"Loss",TRUE,"BreakEven")</f>
        <v>Win</v>
      </c>
      <c r="Q77" s="1">
        <f>IF(tbl_trade[[#This Row],[PnL]]&gt;0,1,0)</f>
        <v>1</v>
      </c>
      <c r="R77" s="1" t="str">
        <f>TEXT(tbl_trade[[#This Row],[Date]],"yyyy-mm-dd")</f>
        <v>2024-07-03</v>
      </c>
      <c r="S77" s="1">
        <f>YEAR(tbl_trade[[#This Row],[Date]])</f>
        <v>2024</v>
      </c>
      <c r="T77" s="1" t="str">
        <f>TEXT(tbl_trade[[#This Row],[Date]],"mmm")</f>
        <v>Jul</v>
      </c>
      <c r="U77" s="1">
        <f>MONTH(tbl_trade[[#This Row],[Date]])</f>
        <v>7</v>
      </c>
      <c r="V77" s="1" t="str">
        <f>"Q"&amp;ROUNDUP(MONTH(tbl_trade[[#This Row],[Date]])/3,0)</f>
        <v>Q3</v>
      </c>
    </row>
    <row r="78" spans="1:22" x14ac:dyDescent="0.3">
      <c r="A78" s="18">
        <v>45478</v>
      </c>
      <c r="B78" s="1" t="s">
        <v>24</v>
      </c>
      <c r="C78" s="1" t="s">
        <v>25</v>
      </c>
      <c r="D78" s="1" t="s">
        <v>26</v>
      </c>
      <c r="E78" s="1">
        <v>405.49</v>
      </c>
      <c r="F78" s="1">
        <v>407.59</v>
      </c>
      <c r="G78" s="1">
        <v>15</v>
      </c>
      <c r="H78" s="1">
        <v>404.48</v>
      </c>
      <c r="I78" s="1">
        <v>408.65</v>
      </c>
      <c r="J78" s="1">
        <v>18.64</v>
      </c>
      <c r="K78" s="2">
        <v>12.859999999999488</v>
      </c>
      <c r="L78" s="1">
        <v>33.789999999999864</v>
      </c>
      <c r="M78" s="1">
        <v>0.38058597218110507</v>
      </c>
      <c r="N78" s="1" t="s">
        <v>43</v>
      </c>
      <c r="O78" s="1" t="s">
        <v>55</v>
      </c>
      <c r="P78" s="1" t="str" cm="1">
        <f t="array" ref="P78">_xlfn.IFS(tbl_trade[[#This Row],[PnL]]&gt;0,"Win",tbl_trade[[#This Row],[PnL]]&lt;0,"Loss",TRUE,"BreakEven")</f>
        <v>Win</v>
      </c>
      <c r="Q78" s="1">
        <f>IF(tbl_trade[[#This Row],[PnL]]&gt;0,1,0)</f>
        <v>1</v>
      </c>
      <c r="R78" s="1" t="str">
        <f>TEXT(tbl_trade[[#This Row],[Date]],"yyyy-mm-dd")</f>
        <v>2024-07-05</v>
      </c>
      <c r="S78" s="1">
        <f>YEAR(tbl_trade[[#This Row],[Date]])</f>
        <v>2024</v>
      </c>
      <c r="T78" s="1" t="str">
        <f>TEXT(tbl_trade[[#This Row],[Date]],"mmm")</f>
        <v>Jul</v>
      </c>
      <c r="U78" s="1">
        <f>MONTH(tbl_trade[[#This Row],[Date]])</f>
        <v>7</v>
      </c>
      <c r="V78" s="1" t="str">
        <f>"Q"&amp;ROUNDUP(MONTH(tbl_trade[[#This Row],[Date]])/3,0)</f>
        <v>Q3</v>
      </c>
    </row>
    <row r="79" spans="1:22" x14ac:dyDescent="0.3">
      <c r="A79" s="18">
        <v>45481</v>
      </c>
      <c r="B79" s="1" t="s">
        <v>62</v>
      </c>
      <c r="C79" s="1" t="s">
        <v>25</v>
      </c>
      <c r="D79" s="1" t="s">
        <v>37</v>
      </c>
      <c r="E79" s="1">
        <v>392.33</v>
      </c>
      <c r="F79" s="1">
        <v>391.3</v>
      </c>
      <c r="G79" s="1">
        <v>20</v>
      </c>
      <c r="H79" s="1">
        <v>392.93</v>
      </c>
      <c r="I79" s="1">
        <v>390.64</v>
      </c>
      <c r="J79" s="1">
        <v>17.399999999999999</v>
      </c>
      <c r="K79" s="2">
        <v>3.1999999999994557</v>
      </c>
      <c r="L79" s="1">
        <v>29.400000000000453</v>
      </c>
      <c r="M79" s="1">
        <v>0.10884353741494579</v>
      </c>
      <c r="N79" s="1" t="s">
        <v>40</v>
      </c>
      <c r="O79" s="1" t="s">
        <v>51</v>
      </c>
      <c r="P79" s="1" t="str" cm="1">
        <f t="array" ref="P79">_xlfn.IFS(tbl_trade[[#This Row],[PnL]]&gt;0,"Win",tbl_trade[[#This Row],[PnL]]&lt;0,"Loss",TRUE,"BreakEven")</f>
        <v>Win</v>
      </c>
      <c r="Q79" s="1">
        <f>IF(tbl_trade[[#This Row],[PnL]]&gt;0,1,0)</f>
        <v>1</v>
      </c>
      <c r="R79" s="1" t="str">
        <f>TEXT(tbl_trade[[#This Row],[Date]],"yyyy-mm-dd")</f>
        <v>2024-07-08</v>
      </c>
      <c r="S79" s="1">
        <f>YEAR(tbl_trade[[#This Row],[Date]])</f>
        <v>2024</v>
      </c>
      <c r="T79" s="1" t="str">
        <f>TEXT(tbl_trade[[#This Row],[Date]],"mmm")</f>
        <v>Jul</v>
      </c>
      <c r="U79" s="1">
        <f>MONTH(tbl_trade[[#This Row],[Date]])</f>
        <v>7</v>
      </c>
      <c r="V79" s="1" t="str">
        <f>"Q"&amp;ROUNDUP(MONTH(tbl_trade[[#This Row],[Date]])/3,0)</f>
        <v>Q3</v>
      </c>
    </row>
    <row r="80" spans="1:22" x14ac:dyDescent="0.3">
      <c r="A80" s="18">
        <v>45482</v>
      </c>
      <c r="B80" s="1" t="s">
        <v>78</v>
      </c>
      <c r="C80" s="1" t="s">
        <v>36</v>
      </c>
      <c r="D80" s="1" t="s">
        <v>37</v>
      </c>
      <c r="E80" s="1">
        <v>129.8493</v>
      </c>
      <c r="F80" s="1">
        <v>124.6849</v>
      </c>
      <c r="G80" s="1">
        <v>10</v>
      </c>
      <c r="H80" s="1">
        <v>132.60740000000001</v>
      </c>
      <c r="I80" s="1">
        <v>124.239</v>
      </c>
      <c r="J80" s="1">
        <v>13.64</v>
      </c>
      <c r="K80" s="2">
        <v>38.004000000000005</v>
      </c>
      <c r="L80" s="1">
        <v>41.221000000000132</v>
      </c>
      <c r="M80" s="1">
        <v>0.92195725479730928</v>
      </c>
      <c r="N80" s="1" t="s">
        <v>66</v>
      </c>
      <c r="O80" s="1" t="s">
        <v>51</v>
      </c>
      <c r="P80" s="1" t="str" cm="1">
        <f t="array" ref="P80">_xlfn.IFS(tbl_trade[[#This Row],[PnL]]&gt;0,"Win",tbl_trade[[#This Row],[PnL]]&lt;0,"Loss",TRUE,"BreakEven")</f>
        <v>Win</v>
      </c>
      <c r="Q80" s="1">
        <f>IF(tbl_trade[[#This Row],[PnL]]&gt;0,1,0)</f>
        <v>1</v>
      </c>
      <c r="R80" s="1" t="str">
        <f>TEXT(tbl_trade[[#This Row],[Date]],"yyyy-mm-dd")</f>
        <v>2024-07-09</v>
      </c>
      <c r="S80" s="1">
        <f>YEAR(tbl_trade[[#This Row],[Date]])</f>
        <v>2024</v>
      </c>
      <c r="T80" s="1" t="str">
        <f>TEXT(tbl_trade[[#This Row],[Date]],"mmm")</f>
        <v>Jul</v>
      </c>
      <c r="U80" s="1">
        <f>MONTH(tbl_trade[[#This Row],[Date]])</f>
        <v>7</v>
      </c>
      <c r="V80" s="1" t="str">
        <f>"Q"&amp;ROUNDUP(MONTH(tbl_trade[[#This Row],[Date]])/3,0)</f>
        <v>Q3</v>
      </c>
    </row>
    <row r="81" spans="1:22" x14ac:dyDescent="0.3">
      <c r="A81" s="18">
        <v>45485</v>
      </c>
      <c r="B81" s="1" t="s">
        <v>83</v>
      </c>
      <c r="C81" s="1" t="s">
        <v>36</v>
      </c>
      <c r="D81" s="1" t="s">
        <v>26</v>
      </c>
      <c r="E81" s="1">
        <v>3095.9690000000001</v>
      </c>
      <c r="F81" s="1">
        <v>3190.5111000000002</v>
      </c>
      <c r="G81" s="1">
        <v>1.5</v>
      </c>
      <c r="H81" s="1">
        <v>3043.2986999999998</v>
      </c>
      <c r="I81" s="1">
        <v>3233.0001999999999</v>
      </c>
      <c r="J81" s="1">
        <v>7.8</v>
      </c>
      <c r="K81" s="2">
        <v>134.01315000000017</v>
      </c>
      <c r="L81" s="1">
        <v>86.805450000000334</v>
      </c>
      <c r="M81" s="1">
        <v>1.5438333653013683</v>
      </c>
      <c r="N81" s="1" t="s">
        <v>16</v>
      </c>
      <c r="O81" s="1" t="s">
        <v>84</v>
      </c>
      <c r="P81" s="1" t="str" cm="1">
        <f t="array" ref="P81">_xlfn.IFS(tbl_trade[[#This Row],[PnL]]&gt;0,"Win",tbl_trade[[#This Row],[PnL]]&lt;0,"Loss",TRUE,"BreakEven")</f>
        <v>Win</v>
      </c>
      <c r="Q81" s="1">
        <f>IF(tbl_trade[[#This Row],[PnL]]&gt;0,1,0)</f>
        <v>1</v>
      </c>
      <c r="R81" s="1" t="str">
        <f>TEXT(tbl_trade[[#This Row],[Date]],"yyyy-mm-dd")</f>
        <v>2024-07-12</v>
      </c>
      <c r="S81" s="1">
        <f>YEAR(tbl_trade[[#This Row],[Date]])</f>
        <v>2024</v>
      </c>
      <c r="T81" s="1" t="str">
        <f>TEXT(tbl_trade[[#This Row],[Date]],"mmm")</f>
        <v>Jul</v>
      </c>
      <c r="U81" s="1">
        <f>MONTH(tbl_trade[[#This Row],[Date]])</f>
        <v>7</v>
      </c>
      <c r="V81" s="1" t="str">
        <f>"Q"&amp;ROUNDUP(MONTH(tbl_trade[[#This Row],[Date]])/3,0)</f>
        <v>Q3</v>
      </c>
    </row>
    <row r="82" spans="1:22" x14ac:dyDescent="0.3">
      <c r="A82" s="18">
        <v>45488</v>
      </c>
      <c r="B82" s="1" t="s">
        <v>48</v>
      </c>
      <c r="C82" s="1" t="s">
        <v>36</v>
      </c>
      <c r="D82" s="1" t="s">
        <v>26</v>
      </c>
      <c r="E82" s="1">
        <v>65979.591799999995</v>
      </c>
      <c r="F82" s="1">
        <v>67463.402900000001</v>
      </c>
      <c r="G82" s="1">
        <v>0.3</v>
      </c>
      <c r="H82" s="1">
        <v>65015.262499999997</v>
      </c>
      <c r="I82" s="1">
        <v>68227.424799999993</v>
      </c>
      <c r="J82" s="1">
        <v>19.170000000000002</v>
      </c>
      <c r="K82" s="2">
        <v>425.97333000000185</v>
      </c>
      <c r="L82" s="1">
        <v>308.46878999999927</v>
      </c>
      <c r="M82" s="1">
        <v>1.3809284563277953</v>
      </c>
      <c r="N82" s="1" t="s">
        <v>63</v>
      </c>
      <c r="O82" s="1" t="s">
        <v>76</v>
      </c>
      <c r="P82" s="1" t="str" cm="1">
        <f t="array" ref="P82">_xlfn.IFS(tbl_trade[[#This Row],[PnL]]&gt;0,"Win",tbl_trade[[#This Row],[PnL]]&lt;0,"Loss",TRUE,"BreakEven")</f>
        <v>Win</v>
      </c>
      <c r="Q82" s="1">
        <f>IF(tbl_trade[[#This Row],[PnL]]&gt;0,1,0)</f>
        <v>1</v>
      </c>
      <c r="R82" s="1" t="str">
        <f>TEXT(tbl_trade[[#This Row],[Date]],"yyyy-mm-dd")</f>
        <v>2024-07-15</v>
      </c>
      <c r="S82" s="1">
        <f>YEAR(tbl_trade[[#This Row],[Date]])</f>
        <v>2024</v>
      </c>
      <c r="T82" s="1" t="str">
        <f>TEXT(tbl_trade[[#This Row],[Date]],"mmm")</f>
        <v>Jul</v>
      </c>
      <c r="U82" s="1">
        <f>MONTH(tbl_trade[[#This Row],[Date]])</f>
        <v>7</v>
      </c>
      <c r="V82" s="1" t="str">
        <f>"Q"&amp;ROUNDUP(MONTH(tbl_trade[[#This Row],[Date]])/3,0)</f>
        <v>Q3</v>
      </c>
    </row>
    <row r="83" spans="1:22" x14ac:dyDescent="0.3">
      <c r="A83" s="18">
        <v>45490</v>
      </c>
      <c r="B83" s="1" t="s">
        <v>82</v>
      </c>
      <c r="C83" s="1" t="s">
        <v>36</v>
      </c>
      <c r="D83" s="1" t="s">
        <v>26</v>
      </c>
      <c r="E83" s="1">
        <v>436.7176</v>
      </c>
      <c r="F83" s="1">
        <v>457.00400000000002</v>
      </c>
      <c r="G83" s="1">
        <v>5</v>
      </c>
      <c r="H83" s="1">
        <v>422.92430000000002</v>
      </c>
      <c r="I83" s="1">
        <v>481.24310000000003</v>
      </c>
      <c r="J83" s="1">
        <v>28.7</v>
      </c>
      <c r="K83" s="2">
        <v>72.73200000000007</v>
      </c>
      <c r="L83" s="1">
        <v>97.666499999999942</v>
      </c>
      <c r="M83" s="1">
        <v>0.74469751654866423</v>
      </c>
      <c r="N83" s="1" t="s">
        <v>33</v>
      </c>
      <c r="O83" s="1" t="s">
        <v>65</v>
      </c>
      <c r="P83" s="1" t="str" cm="1">
        <f t="array" ref="P83">_xlfn.IFS(tbl_trade[[#This Row],[PnL]]&gt;0,"Win",tbl_trade[[#This Row],[PnL]]&lt;0,"Loss",TRUE,"BreakEven")</f>
        <v>Win</v>
      </c>
      <c r="Q83" s="1">
        <f>IF(tbl_trade[[#This Row],[PnL]]&gt;0,1,0)</f>
        <v>1</v>
      </c>
      <c r="R83" s="1" t="str">
        <f>TEXT(tbl_trade[[#This Row],[Date]],"yyyy-mm-dd")</f>
        <v>2024-07-17</v>
      </c>
      <c r="S83" s="1">
        <f>YEAR(tbl_trade[[#This Row],[Date]])</f>
        <v>2024</v>
      </c>
      <c r="T83" s="1" t="str">
        <f>TEXT(tbl_trade[[#This Row],[Date]],"mmm")</f>
        <v>Jul</v>
      </c>
      <c r="U83" s="1">
        <f>MONTH(tbl_trade[[#This Row],[Date]])</f>
        <v>7</v>
      </c>
      <c r="V83" s="1" t="str">
        <f>"Q"&amp;ROUNDUP(MONTH(tbl_trade[[#This Row],[Date]])/3,0)</f>
        <v>Q3</v>
      </c>
    </row>
    <row r="84" spans="1:22" x14ac:dyDescent="0.3">
      <c r="A84" s="18">
        <v>45492</v>
      </c>
      <c r="B84" s="1" t="s">
        <v>54</v>
      </c>
      <c r="C84" s="1" t="s">
        <v>15</v>
      </c>
      <c r="D84" s="1" t="s">
        <v>37</v>
      </c>
      <c r="E84" s="1">
        <v>1.2781</v>
      </c>
      <c r="F84" s="1">
        <v>1.2790999999999999</v>
      </c>
      <c r="G84" s="1">
        <v>25000</v>
      </c>
      <c r="H84" s="1">
        <v>1.2791999999999999</v>
      </c>
      <c r="I84" s="1">
        <v>1.2749999999999999</v>
      </c>
      <c r="J84" s="1">
        <v>18.399999999999999</v>
      </c>
      <c r="K84" s="2">
        <v>-43.399999999997249</v>
      </c>
      <c r="L84" s="1">
        <v>45.899999999996972</v>
      </c>
      <c r="M84" s="1">
        <v>-0.94553376906318332</v>
      </c>
      <c r="N84" s="1" t="s">
        <v>16</v>
      </c>
      <c r="O84" s="1" t="s">
        <v>81</v>
      </c>
      <c r="P84" s="1" t="str" cm="1">
        <f t="array" ref="P84">_xlfn.IFS(tbl_trade[[#This Row],[PnL]]&gt;0,"Win",tbl_trade[[#This Row],[PnL]]&lt;0,"Loss",TRUE,"BreakEven")</f>
        <v>Loss</v>
      </c>
      <c r="Q84" s="1">
        <f>IF(tbl_trade[[#This Row],[PnL]]&gt;0,1,0)</f>
        <v>0</v>
      </c>
      <c r="R84" s="1" t="str">
        <f>TEXT(tbl_trade[[#This Row],[Date]],"yyyy-mm-dd")</f>
        <v>2024-07-19</v>
      </c>
      <c r="S84" s="1">
        <f>YEAR(tbl_trade[[#This Row],[Date]])</f>
        <v>2024</v>
      </c>
      <c r="T84" s="1" t="str">
        <f>TEXT(tbl_trade[[#This Row],[Date]],"mmm")</f>
        <v>Jul</v>
      </c>
      <c r="U84" s="1">
        <f>MONTH(tbl_trade[[#This Row],[Date]])</f>
        <v>7</v>
      </c>
      <c r="V84" s="1" t="str">
        <f>"Q"&amp;ROUNDUP(MONTH(tbl_trade[[#This Row],[Date]])/3,0)</f>
        <v>Q3</v>
      </c>
    </row>
    <row r="85" spans="1:22" x14ac:dyDescent="0.3">
      <c r="A85" s="18">
        <v>45495</v>
      </c>
      <c r="B85" s="1" t="s">
        <v>42</v>
      </c>
      <c r="C85" s="1" t="s">
        <v>15</v>
      </c>
      <c r="D85" s="1" t="s">
        <v>37</v>
      </c>
      <c r="E85" s="1">
        <v>146.52119999999999</v>
      </c>
      <c r="F85" s="1">
        <v>146.42869999999999</v>
      </c>
      <c r="G85" s="1">
        <v>20000</v>
      </c>
      <c r="H85" s="1">
        <v>146.60339999999999</v>
      </c>
      <c r="I85" s="1">
        <v>146.36689999999999</v>
      </c>
      <c r="J85" s="1">
        <v>22.15</v>
      </c>
      <c r="K85" s="2">
        <v>1827.8500000000226</v>
      </c>
      <c r="L85" s="1">
        <v>1666.1500000000055</v>
      </c>
      <c r="M85" s="1">
        <v>1.0970500855265231</v>
      </c>
      <c r="N85" s="1" t="s">
        <v>52</v>
      </c>
      <c r="O85" s="1" t="s">
        <v>51</v>
      </c>
      <c r="P85" s="1" t="str" cm="1">
        <f t="array" ref="P85">_xlfn.IFS(tbl_trade[[#This Row],[PnL]]&gt;0,"Win",tbl_trade[[#This Row],[PnL]]&lt;0,"Loss",TRUE,"BreakEven")</f>
        <v>Win</v>
      </c>
      <c r="Q85" s="1">
        <f>IF(tbl_trade[[#This Row],[PnL]]&gt;0,1,0)</f>
        <v>1</v>
      </c>
      <c r="R85" s="1" t="str">
        <f>TEXT(tbl_trade[[#This Row],[Date]],"yyyy-mm-dd")</f>
        <v>2024-07-22</v>
      </c>
      <c r="S85" s="1">
        <f>YEAR(tbl_trade[[#This Row],[Date]])</f>
        <v>2024</v>
      </c>
      <c r="T85" s="1" t="str">
        <f>TEXT(tbl_trade[[#This Row],[Date]],"mmm")</f>
        <v>Jul</v>
      </c>
      <c r="U85" s="1">
        <f>MONTH(tbl_trade[[#This Row],[Date]])</f>
        <v>7</v>
      </c>
      <c r="V85" s="1" t="str">
        <f>"Q"&amp;ROUNDUP(MONTH(tbl_trade[[#This Row],[Date]])/3,0)</f>
        <v>Q3</v>
      </c>
    </row>
    <row r="86" spans="1:22" x14ac:dyDescent="0.3">
      <c r="A86" s="18">
        <v>45496</v>
      </c>
      <c r="B86" s="1" t="s">
        <v>58</v>
      </c>
      <c r="C86" s="1" t="s">
        <v>15</v>
      </c>
      <c r="D86" s="1" t="s">
        <v>26</v>
      </c>
      <c r="E86" s="1">
        <v>1.3378000000000001</v>
      </c>
      <c r="F86" s="1">
        <v>1.3374999999999999</v>
      </c>
      <c r="G86" s="1">
        <v>30000</v>
      </c>
      <c r="H86" s="1">
        <v>1.3369</v>
      </c>
      <c r="I86" s="1">
        <v>1.3409</v>
      </c>
      <c r="J86" s="1">
        <v>24.56</v>
      </c>
      <c r="K86" s="2">
        <v>-33.560000000005672</v>
      </c>
      <c r="L86" s="1">
        <v>51.560000000003683</v>
      </c>
      <c r="M86" s="1">
        <v>-0.65089216446864384</v>
      </c>
      <c r="N86" s="1" t="s">
        <v>43</v>
      </c>
      <c r="O86" s="1" t="s">
        <v>38</v>
      </c>
      <c r="P86" s="1" t="str" cm="1">
        <f t="array" ref="P86">_xlfn.IFS(tbl_trade[[#This Row],[PnL]]&gt;0,"Win",tbl_trade[[#This Row],[PnL]]&lt;0,"Loss",TRUE,"BreakEven")</f>
        <v>Loss</v>
      </c>
      <c r="Q86" s="1">
        <f>IF(tbl_trade[[#This Row],[PnL]]&gt;0,1,0)</f>
        <v>0</v>
      </c>
      <c r="R86" s="1" t="str">
        <f>TEXT(tbl_trade[[#This Row],[Date]],"yyyy-mm-dd")</f>
        <v>2024-07-23</v>
      </c>
      <c r="S86" s="1">
        <f>YEAR(tbl_trade[[#This Row],[Date]])</f>
        <v>2024</v>
      </c>
      <c r="T86" s="1" t="str">
        <f>TEXT(tbl_trade[[#This Row],[Date]],"mmm")</f>
        <v>Jul</v>
      </c>
      <c r="U86" s="1">
        <f>MONTH(tbl_trade[[#This Row],[Date]])</f>
        <v>7</v>
      </c>
      <c r="V86" s="1" t="str">
        <f>"Q"&amp;ROUNDUP(MONTH(tbl_trade[[#This Row],[Date]])/3,0)</f>
        <v>Q3</v>
      </c>
    </row>
    <row r="87" spans="1:22" x14ac:dyDescent="0.3">
      <c r="A87" s="18">
        <v>45497</v>
      </c>
      <c r="B87" s="1" t="s">
        <v>83</v>
      </c>
      <c r="C87" s="1" t="s">
        <v>36</v>
      </c>
      <c r="D87" s="1" t="s">
        <v>26</v>
      </c>
      <c r="E87" s="1">
        <v>3737.6365000000001</v>
      </c>
      <c r="F87" s="1">
        <v>3787.5061000000001</v>
      </c>
      <c r="G87" s="1">
        <v>1.5</v>
      </c>
      <c r="H87" s="1">
        <v>3689.6073000000001</v>
      </c>
      <c r="I87" s="1">
        <v>3890.8534</v>
      </c>
      <c r="J87" s="1">
        <v>32.31</v>
      </c>
      <c r="K87" s="2">
        <v>42.494399999999985</v>
      </c>
      <c r="L87" s="1">
        <v>104.35379999999992</v>
      </c>
      <c r="M87" s="1">
        <v>0.40721468695917173</v>
      </c>
      <c r="N87" s="1" t="s">
        <v>63</v>
      </c>
      <c r="O87" s="1" t="s">
        <v>31</v>
      </c>
      <c r="P87" s="1" t="str" cm="1">
        <f t="array" ref="P87">_xlfn.IFS(tbl_trade[[#This Row],[PnL]]&gt;0,"Win",tbl_trade[[#This Row],[PnL]]&lt;0,"Loss",TRUE,"BreakEven")</f>
        <v>Win</v>
      </c>
      <c r="Q87" s="1">
        <f>IF(tbl_trade[[#This Row],[PnL]]&gt;0,1,0)</f>
        <v>1</v>
      </c>
      <c r="R87" s="1" t="str">
        <f>TEXT(tbl_trade[[#This Row],[Date]],"yyyy-mm-dd")</f>
        <v>2024-07-24</v>
      </c>
      <c r="S87" s="1">
        <f>YEAR(tbl_trade[[#This Row],[Date]])</f>
        <v>2024</v>
      </c>
      <c r="T87" s="1" t="str">
        <f>TEXT(tbl_trade[[#This Row],[Date]],"mmm")</f>
        <v>Jul</v>
      </c>
      <c r="U87" s="1">
        <f>MONTH(tbl_trade[[#This Row],[Date]])</f>
        <v>7</v>
      </c>
      <c r="V87" s="1" t="str">
        <f>"Q"&amp;ROUNDUP(MONTH(tbl_trade[[#This Row],[Date]])/3,0)</f>
        <v>Q3</v>
      </c>
    </row>
    <row r="88" spans="1:22" x14ac:dyDescent="0.3">
      <c r="A88" s="18">
        <v>45498</v>
      </c>
      <c r="B88" s="1" t="s">
        <v>50</v>
      </c>
      <c r="C88" s="1" t="s">
        <v>25</v>
      </c>
      <c r="D88" s="1" t="s">
        <v>37</v>
      </c>
      <c r="E88" s="1">
        <v>176.43</v>
      </c>
      <c r="F88" s="1">
        <v>176.77</v>
      </c>
      <c r="G88" s="1">
        <v>20</v>
      </c>
      <c r="H88" s="1">
        <v>176.93</v>
      </c>
      <c r="I88" s="1">
        <v>174.99</v>
      </c>
      <c r="J88" s="1">
        <v>30.55</v>
      </c>
      <c r="K88" s="2">
        <v>-37.350000000000065</v>
      </c>
      <c r="L88" s="1">
        <v>40.549999999999997</v>
      </c>
      <c r="M88" s="1">
        <v>-0.92108508014796719</v>
      </c>
      <c r="N88" s="1" t="s">
        <v>63</v>
      </c>
      <c r="O88" s="1" t="s">
        <v>75</v>
      </c>
      <c r="P88" s="1" t="str" cm="1">
        <f t="array" ref="P88">_xlfn.IFS(tbl_trade[[#This Row],[PnL]]&gt;0,"Win",tbl_trade[[#This Row],[PnL]]&lt;0,"Loss",TRUE,"BreakEven")</f>
        <v>Loss</v>
      </c>
      <c r="Q88" s="1">
        <f>IF(tbl_trade[[#This Row],[PnL]]&gt;0,1,0)</f>
        <v>0</v>
      </c>
      <c r="R88" s="1" t="str">
        <f>TEXT(tbl_trade[[#This Row],[Date]],"yyyy-mm-dd")</f>
        <v>2024-07-25</v>
      </c>
      <c r="S88" s="1">
        <f>YEAR(tbl_trade[[#This Row],[Date]])</f>
        <v>2024</v>
      </c>
      <c r="T88" s="1" t="str">
        <f>TEXT(tbl_trade[[#This Row],[Date]],"mmm")</f>
        <v>Jul</v>
      </c>
      <c r="U88" s="1">
        <f>MONTH(tbl_trade[[#This Row],[Date]])</f>
        <v>7</v>
      </c>
      <c r="V88" s="1" t="str">
        <f>"Q"&amp;ROUNDUP(MONTH(tbl_trade[[#This Row],[Date]])/3,0)</f>
        <v>Q3</v>
      </c>
    </row>
    <row r="89" spans="1:22" x14ac:dyDescent="0.3">
      <c r="A89" s="18">
        <v>45502</v>
      </c>
      <c r="B89" s="1" t="s">
        <v>82</v>
      </c>
      <c r="C89" s="1" t="s">
        <v>36</v>
      </c>
      <c r="D89" s="1" t="s">
        <v>37</v>
      </c>
      <c r="E89" s="1">
        <v>402.18200000000002</v>
      </c>
      <c r="F89" s="1">
        <v>404.39949999999999</v>
      </c>
      <c r="G89" s="1">
        <v>5</v>
      </c>
      <c r="H89" s="1">
        <v>415.9058</v>
      </c>
      <c r="I89" s="1">
        <v>380.61099999999999</v>
      </c>
      <c r="J89" s="1">
        <v>23.93</v>
      </c>
      <c r="K89" s="2">
        <v>-35.017499999999863</v>
      </c>
      <c r="L89" s="1">
        <v>92.548999999999921</v>
      </c>
      <c r="M89" s="1">
        <v>-0.37836713524727328</v>
      </c>
      <c r="N89" s="1" t="s">
        <v>43</v>
      </c>
      <c r="O89" s="1" t="s">
        <v>84</v>
      </c>
      <c r="P89" s="1" t="str" cm="1">
        <f t="array" ref="P89">_xlfn.IFS(tbl_trade[[#This Row],[PnL]]&gt;0,"Win",tbl_trade[[#This Row],[PnL]]&lt;0,"Loss",TRUE,"BreakEven")</f>
        <v>Loss</v>
      </c>
      <c r="Q89" s="1">
        <f>IF(tbl_trade[[#This Row],[PnL]]&gt;0,1,0)</f>
        <v>0</v>
      </c>
      <c r="R89" s="1" t="str">
        <f>TEXT(tbl_trade[[#This Row],[Date]],"yyyy-mm-dd")</f>
        <v>2024-07-29</v>
      </c>
      <c r="S89" s="1">
        <f>YEAR(tbl_trade[[#This Row],[Date]])</f>
        <v>2024</v>
      </c>
      <c r="T89" s="1" t="str">
        <f>TEXT(tbl_trade[[#This Row],[Date]],"mmm")</f>
        <v>Jul</v>
      </c>
      <c r="U89" s="1">
        <f>MONTH(tbl_trade[[#This Row],[Date]])</f>
        <v>7</v>
      </c>
      <c r="V89" s="1" t="str">
        <f>"Q"&amp;ROUNDUP(MONTH(tbl_trade[[#This Row],[Date]])/3,0)</f>
        <v>Q3</v>
      </c>
    </row>
    <row r="90" spans="1:22" x14ac:dyDescent="0.3">
      <c r="A90" s="18">
        <v>45504</v>
      </c>
      <c r="B90" s="1" t="s">
        <v>45</v>
      </c>
      <c r="C90" s="1" t="s">
        <v>25</v>
      </c>
      <c r="D90" s="1" t="s">
        <v>26</v>
      </c>
      <c r="E90" s="1">
        <v>493.23</v>
      </c>
      <c r="F90" s="1">
        <v>493.05</v>
      </c>
      <c r="G90" s="1">
        <v>20</v>
      </c>
      <c r="H90" s="1">
        <v>492.99</v>
      </c>
      <c r="I90" s="1">
        <v>493.67</v>
      </c>
      <c r="J90" s="1">
        <v>5.87</v>
      </c>
      <c r="K90" s="2">
        <v>-9.4700000000001374</v>
      </c>
      <c r="L90" s="1">
        <v>10.670000000000183</v>
      </c>
      <c r="M90" s="1">
        <v>-0.88753514526710164</v>
      </c>
      <c r="N90" s="1" t="s">
        <v>33</v>
      </c>
      <c r="O90" s="1" t="s">
        <v>57</v>
      </c>
      <c r="P90" s="1" t="str" cm="1">
        <f t="array" ref="P90">_xlfn.IFS(tbl_trade[[#This Row],[PnL]]&gt;0,"Win",tbl_trade[[#This Row],[PnL]]&lt;0,"Loss",TRUE,"BreakEven")</f>
        <v>Loss</v>
      </c>
      <c r="Q90" s="1">
        <f>IF(tbl_trade[[#This Row],[PnL]]&gt;0,1,0)</f>
        <v>0</v>
      </c>
      <c r="R90" s="1" t="str">
        <f>TEXT(tbl_trade[[#This Row],[Date]],"yyyy-mm-dd")</f>
        <v>2024-07-31</v>
      </c>
      <c r="S90" s="1">
        <f>YEAR(tbl_trade[[#This Row],[Date]])</f>
        <v>2024</v>
      </c>
      <c r="T90" s="1" t="str">
        <f>TEXT(tbl_trade[[#This Row],[Date]],"mmm")</f>
        <v>Jul</v>
      </c>
      <c r="U90" s="1">
        <f>MONTH(tbl_trade[[#This Row],[Date]])</f>
        <v>7</v>
      </c>
      <c r="V90" s="1" t="str">
        <f>"Q"&amp;ROUNDUP(MONTH(tbl_trade[[#This Row],[Date]])/3,0)</f>
        <v>Q3</v>
      </c>
    </row>
    <row r="91" spans="1:22" x14ac:dyDescent="0.3">
      <c r="A91" s="18">
        <v>45506</v>
      </c>
      <c r="B91" s="1" t="s">
        <v>61</v>
      </c>
      <c r="C91" s="1" t="s">
        <v>25</v>
      </c>
      <c r="D91" s="1" t="s">
        <v>37</v>
      </c>
      <c r="E91" s="1">
        <v>234.45</v>
      </c>
      <c r="F91" s="1">
        <v>232.63</v>
      </c>
      <c r="G91" s="1">
        <v>15</v>
      </c>
      <c r="H91" s="1">
        <v>235.18</v>
      </c>
      <c r="I91" s="1">
        <v>232.36</v>
      </c>
      <c r="J91" s="1">
        <v>10.25</v>
      </c>
      <c r="K91" s="2">
        <v>17.049999999999898</v>
      </c>
      <c r="L91" s="1">
        <v>21.200000000000273</v>
      </c>
      <c r="M91" s="1">
        <v>0.80424528301885279</v>
      </c>
      <c r="N91" s="1" t="s">
        <v>43</v>
      </c>
      <c r="O91" s="1" t="s">
        <v>44</v>
      </c>
      <c r="P91" s="1" t="str" cm="1">
        <f t="array" ref="P91">_xlfn.IFS(tbl_trade[[#This Row],[PnL]]&gt;0,"Win",tbl_trade[[#This Row],[PnL]]&lt;0,"Loss",TRUE,"BreakEven")</f>
        <v>Win</v>
      </c>
      <c r="Q91" s="1">
        <f>IF(tbl_trade[[#This Row],[PnL]]&gt;0,1,0)</f>
        <v>1</v>
      </c>
      <c r="R91" s="1" t="str">
        <f>TEXT(tbl_trade[[#This Row],[Date]],"yyyy-mm-dd")</f>
        <v>2024-08-02</v>
      </c>
      <c r="S91" s="1">
        <f>YEAR(tbl_trade[[#This Row],[Date]])</f>
        <v>2024</v>
      </c>
      <c r="T91" s="1" t="str">
        <f>TEXT(tbl_trade[[#This Row],[Date]],"mmm")</f>
        <v>Aug</v>
      </c>
      <c r="U91" s="1">
        <f>MONTH(tbl_trade[[#This Row],[Date]])</f>
        <v>8</v>
      </c>
      <c r="V91" s="1" t="str">
        <f>"Q"&amp;ROUNDUP(MONTH(tbl_trade[[#This Row],[Date]])/3,0)</f>
        <v>Q3</v>
      </c>
    </row>
    <row r="92" spans="1:22" x14ac:dyDescent="0.3">
      <c r="A92" s="18">
        <v>45509</v>
      </c>
      <c r="B92" s="1" t="s">
        <v>80</v>
      </c>
      <c r="C92" s="1" t="s">
        <v>15</v>
      </c>
      <c r="D92" s="1" t="s">
        <v>26</v>
      </c>
      <c r="E92" s="1">
        <v>0.66500000000000004</v>
      </c>
      <c r="F92" s="1">
        <v>0.66710000000000003</v>
      </c>
      <c r="G92" s="1">
        <v>40000</v>
      </c>
      <c r="H92" s="1">
        <v>0.66390000000000005</v>
      </c>
      <c r="I92" s="1">
        <v>0.66769999999999996</v>
      </c>
      <c r="J92" s="1">
        <v>31.97</v>
      </c>
      <c r="K92" s="2">
        <v>52.029999999999632</v>
      </c>
      <c r="L92" s="1">
        <v>75.969999999999601</v>
      </c>
      <c r="M92" s="1">
        <v>0.68487560879294329</v>
      </c>
      <c r="N92" s="1" t="s">
        <v>46</v>
      </c>
      <c r="O92" s="1" t="s">
        <v>85</v>
      </c>
      <c r="P92" s="1" t="str" cm="1">
        <f t="array" ref="P92">_xlfn.IFS(tbl_trade[[#This Row],[PnL]]&gt;0,"Win",tbl_trade[[#This Row],[PnL]]&lt;0,"Loss",TRUE,"BreakEven")</f>
        <v>Win</v>
      </c>
      <c r="Q92" s="1">
        <f>IF(tbl_trade[[#This Row],[PnL]]&gt;0,1,0)</f>
        <v>1</v>
      </c>
      <c r="R92" s="1" t="str">
        <f>TEXT(tbl_trade[[#This Row],[Date]],"yyyy-mm-dd")</f>
        <v>2024-08-05</v>
      </c>
      <c r="S92" s="1">
        <f>YEAR(tbl_trade[[#This Row],[Date]])</f>
        <v>2024</v>
      </c>
      <c r="T92" s="1" t="str">
        <f>TEXT(tbl_trade[[#This Row],[Date]],"mmm")</f>
        <v>Aug</v>
      </c>
      <c r="U92" s="1">
        <f>MONTH(tbl_trade[[#This Row],[Date]])</f>
        <v>8</v>
      </c>
      <c r="V92" s="1" t="str">
        <f>"Q"&amp;ROUNDUP(MONTH(tbl_trade[[#This Row],[Date]])/3,0)</f>
        <v>Q3</v>
      </c>
    </row>
    <row r="93" spans="1:22" x14ac:dyDescent="0.3">
      <c r="A93" s="18">
        <v>45511</v>
      </c>
      <c r="B93" s="1" t="s">
        <v>69</v>
      </c>
      <c r="C93" s="1" t="s">
        <v>15</v>
      </c>
      <c r="D93" s="1" t="s">
        <v>26</v>
      </c>
      <c r="E93" s="1">
        <v>1.1162000000000001</v>
      </c>
      <c r="F93" s="1">
        <v>1.1158999999999999</v>
      </c>
      <c r="G93" s="1">
        <v>30000</v>
      </c>
      <c r="H93" s="1">
        <v>1.1153999999999999</v>
      </c>
      <c r="I93" s="1">
        <v>1.1189</v>
      </c>
      <c r="J93" s="1">
        <v>18.71</v>
      </c>
      <c r="K93" s="2">
        <v>-27.710000000005671</v>
      </c>
      <c r="L93" s="1">
        <v>42.710000000004015</v>
      </c>
      <c r="M93" s="1">
        <v>-0.64879419339740263</v>
      </c>
      <c r="N93" s="1" t="s">
        <v>40</v>
      </c>
      <c r="O93" s="1" t="s">
        <v>68</v>
      </c>
      <c r="P93" s="1" t="str" cm="1">
        <f t="array" ref="P93">_xlfn.IFS(tbl_trade[[#This Row],[PnL]]&gt;0,"Win",tbl_trade[[#This Row],[PnL]]&lt;0,"Loss",TRUE,"BreakEven")</f>
        <v>Loss</v>
      </c>
      <c r="Q93" s="1">
        <f>IF(tbl_trade[[#This Row],[PnL]]&gt;0,1,0)</f>
        <v>0</v>
      </c>
      <c r="R93" s="1" t="str">
        <f>TEXT(tbl_trade[[#This Row],[Date]],"yyyy-mm-dd")</f>
        <v>2024-08-07</v>
      </c>
      <c r="S93" s="1">
        <f>YEAR(tbl_trade[[#This Row],[Date]])</f>
        <v>2024</v>
      </c>
      <c r="T93" s="1" t="str">
        <f>TEXT(tbl_trade[[#This Row],[Date]],"mmm")</f>
        <v>Aug</v>
      </c>
      <c r="U93" s="1">
        <f>MONTH(tbl_trade[[#This Row],[Date]])</f>
        <v>8</v>
      </c>
      <c r="V93" s="1" t="str">
        <f>"Q"&amp;ROUNDUP(MONTH(tbl_trade[[#This Row],[Date]])/3,0)</f>
        <v>Q3</v>
      </c>
    </row>
    <row r="94" spans="1:22" x14ac:dyDescent="0.3">
      <c r="A94" s="18">
        <v>45513</v>
      </c>
      <c r="B94" s="1" t="s">
        <v>74</v>
      </c>
      <c r="C94" s="1" t="s">
        <v>25</v>
      </c>
      <c r="D94" s="1" t="s">
        <v>37</v>
      </c>
      <c r="E94" s="1">
        <v>138.30000000000001</v>
      </c>
      <c r="F94" s="1">
        <v>136.85</v>
      </c>
      <c r="G94" s="1">
        <v>15</v>
      </c>
      <c r="H94" s="1">
        <v>138.84</v>
      </c>
      <c r="I94" s="1">
        <v>136.41999999999999</v>
      </c>
      <c r="J94" s="1">
        <v>34.340000000000003</v>
      </c>
      <c r="K94" s="2">
        <v>-12.589999999999748</v>
      </c>
      <c r="L94" s="1">
        <v>42.439999999999884</v>
      </c>
      <c r="M94" s="1">
        <v>-0.29665409990574415</v>
      </c>
      <c r="N94" s="1" t="s">
        <v>46</v>
      </c>
      <c r="O94" s="1" t="s">
        <v>57</v>
      </c>
      <c r="P94" s="1" t="str" cm="1">
        <f t="array" ref="P94">_xlfn.IFS(tbl_trade[[#This Row],[PnL]]&gt;0,"Win",tbl_trade[[#This Row],[PnL]]&lt;0,"Loss",TRUE,"BreakEven")</f>
        <v>Loss</v>
      </c>
      <c r="Q94" s="1">
        <f>IF(tbl_trade[[#This Row],[PnL]]&gt;0,1,0)</f>
        <v>0</v>
      </c>
      <c r="R94" s="1" t="str">
        <f>TEXT(tbl_trade[[#This Row],[Date]],"yyyy-mm-dd")</f>
        <v>2024-08-09</v>
      </c>
      <c r="S94" s="1">
        <f>YEAR(tbl_trade[[#This Row],[Date]])</f>
        <v>2024</v>
      </c>
      <c r="T94" s="1" t="str">
        <f>TEXT(tbl_trade[[#This Row],[Date]],"mmm")</f>
        <v>Aug</v>
      </c>
      <c r="U94" s="1">
        <f>MONTH(tbl_trade[[#This Row],[Date]])</f>
        <v>8</v>
      </c>
      <c r="V94" s="1" t="str">
        <f>"Q"&amp;ROUNDUP(MONTH(tbl_trade[[#This Row],[Date]])/3,0)</f>
        <v>Q3</v>
      </c>
    </row>
    <row r="95" spans="1:22" x14ac:dyDescent="0.3">
      <c r="A95" s="18">
        <v>45516</v>
      </c>
      <c r="B95" s="1" t="s">
        <v>80</v>
      </c>
      <c r="C95" s="1" t="s">
        <v>15</v>
      </c>
      <c r="D95" s="1" t="s">
        <v>37</v>
      </c>
      <c r="E95" s="1">
        <v>0.68189999999999995</v>
      </c>
      <c r="F95" s="1">
        <v>0.68310000000000004</v>
      </c>
      <c r="G95" s="1">
        <v>40000</v>
      </c>
      <c r="H95" s="1">
        <v>0.68340000000000001</v>
      </c>
      <c r="I95" s="1">
        <v>0.67689999999999995</v>
      </c>
      <c r="J95" s="1">
        <v>29.99</v>
      </c>
      <c r="K95" s="2">
        <v>-77.99000000000359</v>
      </c>
      <c r="L95" s="1">
        <v>89.990000000002269</v>
      </c>
      <c r="M95" s="1">
        <v>-0.86665185020559643</v>
      </c>
      <c r="N95" s="1" t="s">
        <v>16</v>
      </c>
      <c r="O95" s="1" t="s">
        <v>67</v>
      </c>
      <c r="P95" s="1" t="str" cm="1">
        <f t="array" ref="P95">_xlfn.IFS(tbl_trade[[#This Row],[PnL]]&gt;0,"Win",tbl_trade[[#This Row],[PnL]]&lt;0,"Loss",TRUE,"BreakEven")</f>
        <v>Loss</v>
      </c>
      <c r="Q95" s="1">
        <f>IF(tbl_trade[[#This Row],[PnL]]&gt;0,1,0)</f>
        <v>0</v>
      </c>
      <c r="R95" s="1" t="str">
        <f>TEXT(tbl_trade[[#This Row],[Date]],"yyyy-mm-dd")</f>
        <v>2024-08-12</v>
      </c>
      <c r="S95" s="1">
        <f>YEAR(tbl_trade[[#This Row],[Date]])</f>
        <v>2024</v>
      </c>
      <c r="T95" s="1" t="str">
        <f>TEXT(tbl_trade[[#This Row],[Date]],"mmm")</f>
        <v>Aug</v>
      </c>
      <c r="U95" s="1">
        <f>MONTH(tbl_trade[[#This Row],[Date]])</f>
        <v>8</v>
      </c>
      <c r="V95" s="1" t="str">
        <f>"Q"&amp;ROUNDUP(MONTH(tbl_trade[[#This Row],[Date]])/3,0)</f>
        <v>Q3</v>
      </c>
    </row>
    <row r="96" spans="1:22" x14ac:dyDescent="0.3">
      <c r="A96" s="18">
        <v>45518</v>
      </c>
      <c r="B96" s="1" t="s">
        <v>45</v>
      </c>
      <c r="C96" s="1" t="s">
        <v>25</v>
      </c>
      <c r="D96" s="1" t="s">
        <v>37</v>
      </c>
      <c r="E96" s="1">
        <v>453.31</v>
      </c>
      <c r="F96" s="1">
        <v>452.55</v>
      </c>
      <c r="G96" s="1">
        <v>20</v>
      </c>
      <c r="H96" s="1">
        <v>453.81</v>
      </c>
      <c r="I96" s="1">
        <v>451.79</v>
      </c>
      <c r="J96" s="1">
        <v>9.1</v>
      </c>
      <c r="K96" s="2">
        <v>6.0999999999998185</v>
      </c>
      <c r="L96" s="1">
        <v>19.100000000000001</v>
      </c>
      <c r="M96" s="1">
        <v>0.31937172774868156</v>
      </c>
      <c r="N96" s="1" t="s">
        <v>30</v>
      </c>
      <c r="O96" s="1" t="s">
        <v>84</v>
      </c>
      <c r="P96" s="1" t="str" cm="1">
        <f t="array" ref="P96">_xlfn.IFS(tbl_trade[[#This Row],[PnL]]&gt;0,"Win",tbl_trade[[#This Row],[PnL]]&lt;0,"Loss",TRUE,"BreakEven")</f>
        <v>Win</v>
      </c>
      <c r="Q96" s="1">
        <f>IF(tbl_trade[[#This Row],[PnL]]&gt;0,1,0)</f>
        <v>1</v>
      </c>
      <c r="R96" s="1" t="str">
        <f>TEXT(tbl_trade[[#This Row],[Date]],"yyyy-mm-dd")</f>
        <v>2024-08-14</v>
      </c>
      <c r="S96" s="1">
        <f>YEAR(tbl_trade[[#This Row],[Date]])</f>
        <v>2024</v>
      </c>
      <c r="T96" s="1" t="str">
        <f>TEXT(tbl_trade[[#This Row],[Date]],"mmm")</f>
        <v>Aug</v>
      </c>
      <c r="U96" s="1">
        <f>MONTH(tbl_trade[[#This Row],[Date]])</f>
        <v>8</v>
      </c>
      <c r="V96" s="1" t="str">
        <f>"Q"&amp;ROUNDUP(MONTH(tbl_trade[[#This Row],[Date]])/3,0)</f>
        <v>Q3</v>
      </c>
    </row>
    <row r="97" spans="1:22" x14ac:dyDescent="0.3">
      <c r="A97" s="18">
        <v>45519</v>
      </c>
      <c r="B97" s="1" t="s">
        <v>61</v>
      </c>
      <c r="C97" s="1" t="s">
        <v>25</v>
      </c>
      <c r="D97" s="1" t="s">
        <v>37</v>
      </c>
      <c r="E97" s="1">
        <v>246.37</v>
      </c>
      <c r="F97" s="1">
        <v>246.73</v>
      </c>
      <c r="G97" s="1">
        <v>15</v>
      </c>
      <c r="H97" s="1">
        <v>246.84</v>
      </c>
      <c r="I97" s="1">
        <v>245.39</v>
      </c>
      <c r="J97" s="1">
        <v>10.27</v>
      </c>
      <c r="K97" s="2">
        <v>-15.669999999999778</v>
      </c>
      <c r="L97" s="1">
        <v>17.319999999999983</v>
      </c>
      <c r="M97" s="1">
        <v>-0.90473441108543839</v>
      </c>
      <c r="N97" s="1" t="s">
        <v>46</v>
      </c>
      <c r="O97" s="1" t="s">
        <v>41</v>
      </c>
      <c r="P97" s="1" t="str" cm="1">
        <f t="array" ref="P97">_xlfn.IFS(tbl_trade[[#This Row],[PnL]]&gt;0,"Win",tbl_trade[[#This Row],[PnL]]&lt;0,"Loss",TRUE,"BreakEven")</f>
        <v>Loss</v>
      </c>
      <c r="Q97" s="1">
        <f>IF(tbl_trade[[#This Row],[PnL]]&gt;0,1,0)</f>
        <v>0</v>
      </c>
      <c r="R97" s="1" t="str">
        <f>TEXT(tbl_trade[[#This Row],[Date]],"yyyy-mm-dd")</f>
        <v>2024-08-15</v>
      </c>
      <c r="S97" s="1">
        <f>YEAR(tbl_trade[[#This Row],[Date]])</f>
        <v>2024</v>
      </c>
      <c r="T97" s="1" t="str">
        <f>TEXT(tbl_trade[[#This Row],[Date]],"mmm")</f>
        <v>Aug</v>
      </c>
      <c r="U97" s="1">
        <f>MONTH(tbl_trade[[#This Row],[Date]])</f>
        <v>8</v>
      </c>
      <c r="V97" s="1" t="str">
        <f>"Q"&amp;ROUNDUP(MONTH(tbl_trade[[#This Row],[Date]])/3,0)</f>
        <v>Q3</v>
      </c>
    </row>
    <row r="98" spans="1:22" x14ac:dyDescent="0.3">
      <c r="A98" s="18">
        <v>45520</v>
      </c>
      <c r="B98" s="1" t="s">
        <v>82</v>
      </c>
      <c r="C98" s="1" t="s">
        <v>36</v>
      </c>
      <c r="D98" s="1" t="s">
        <v>37</v>
      </c>
      <c r="E98" s="1">
        <v>435.2928</v>
      </c>
      <c r="F98" s="1">
        <v>439.33249999999998</v>
      </c>
      <c r="G98" s="1">
        <v>5</v>
      </c>
      <c r="H98" s="1">
        <v>442.86250000000001</v>
      </c>
      <c r="I98" s="1">
        <v>411.4529</v>
      </c>
      <c r="J98" s="1">
        <v>29.19</v>
      </c>
      <c r="K98" s="2">
        <v>-49.388499999999908</v>
      </c>
      <c r="L98" s="1">
        <v>67.038500000000056</v>
      </c>
      <c r="M98" s="1">
        <v>-0.73671845282934234</v>
      </c>
      <c r="N98" s="1" t="s">
        <v>52</v>
      </c>
      <c r="O98" s="1" t="s">
        <v>31</v>
      </c>
      <c r="P98" s="1" t="str" cm="1">
        <f t="array" ref="P98">_xlfn.IFS(tbl_trade[[#This Row],[PnL]]&gt;0,"Win",tbl_trade[[#This Row],[PnL]]&lt;0,"Loss",TRUE,"BreakEven")</f>
        <v>Loss</v>
      </c>
      <c r="Q98" s="1">
        <f>IF(tbl_trade[[#This Row],[PnL]]&gt;0,1,0)</f>
        <v>0</v>
      </c>
      <c r="R98" s="1" t="str">
        <f>TEXT(tbl_trade[[#This Row],[Date]],"yyyy-mm-dd")</f>
        <v>2024-08-16</v>
      </c>
      <c r="S98" s="1">
        <f>YEAR(tbl_trade[[#This Row],[Date]])</f>
        <v>2024</v>
      </c>
      <c r="T98" s="1" t="str">
        <f>TEXT(tbl_trade[[#This Row],[Date]],"mmm")</f>
        <v>Aug</v>
      </c>
      <c r="U98" s="1">
        <f>MONTH(tbl_trade[[#This Row],[Date]])</f>
        <v>8</v>
      </c>
      <c r="V98" s="1" t="str">
        <f>"Q"&amp;ROUNDUP(MONTH(tbl_trade[[#This Row],[Date]])/3,0)</f>
        <v>Q3</v>
      </c>
    </row>
    <row r="99" spans="1:22" x14ac:dyDescent="0.3">
      <c r="A99" s="18">
        <v>45523</v>
      </c>
      <c r="B99" s="1" t="s">
        <v>54</v>
      </c>
      <c r="C99" s="1" t="s">
        <v>15</v>
      </c>
      <c r="D99" s="1" t="s">
        <v>26</v>
      </c>
      <c r="E99" s="1">
        <v>1.2313000000000001</v>
      </c>
      <c r="F99" s="1">
        <v>1.2311000000000001</v>
      </c>
      <c r="G99" s="1">
        <v>25000</v>
      </c>
      <c r="H99" s="1">
        <v>1.2299</v>
      </c>
      <c r="I99" s="1">
        <v>1.2354000000000001</v>
      </c>
      <c r="J99" s="1">
        <v>34.020000000000003</v>
      </c>
      <c r="K99" s="2">
        <v>-39.019999999999456</v>
      </c>
      <c r="L99" s="1">
        <v>69.020000000001701</v>
      </c>
      <c r="M99" s="1">
        <v>-0.56534337873078089</v>
      </c>
      <c r="N99" s="1" t="s">
        <v>46</v>
      </c>
      <c r="O99" s="1" t="s">
        <v>75</v>
      </c>
      <c r="P99" s="1" t="str" cm="1">
        <f t="array" ref="P99">_xlfn.IFS(tbl_trade[[#This Row],[PnL]]&gt;0,"Win",tbl_trade[[#This Row],[PnL]]&lt;0,"Loss",TRUE,"BreakEven")</f>
        <v>Loss</v>
      </c>
      <c r="Q99" s="1">
        <f>IF(tbl_trade[[#This Row],[PnL]]&gt;0,1,0)</f>
        <v>0</v>
      </c>
      <c r="R99" s="1" t="str">
        <f>TEXT(tbl_trade[[#This Row],[Date]],"yyyy-mm-dd")</f>
        <v>2024-08-19</v>
      </c>
      <c r="S99" s="1">
        <f>YEAR(tbl_trade[[#This Row],[Date]])</f>
        <v>2024</v>
      </c>
      <c r="T99" s="1" t="str">
        <f>TEXT(tbl_trade[[#This Row],[Date]],"mmm")</f>
        <v>Aug</v>
      </c>
      <c r="U99" s="1">
        <f>MONTH(tbl_trade[[#This Row],[Date]])</f>
        <v>8</v>
      </c>
      <c r="V99" s="1" t="str">
        <f>"Q"&amp;ROUNDUP(MONTH(tbl_trade[[#This Row],[Date]])/3,0)</f>
        <v>Q3</v>
      </c>
    </row>
    <row r="100" spans="1:22" x14ac:dyDescent="0.3">
      <c r="A100" s="18">
        <v>45526</v>
      </c>
      <c r="B100" s="1" t="s">
        <v>42</v>
      </c>
      <c r="C100" s="1" t="s">
        <v>15</v>
      </c>
      <c r="D100" s="1" t="s">
        <v>26</v>
      </c>
      <c r="E100" s="1">
        <v>143.17349999999999</v>
      </c>
      <c r="F100" s="1">
        <v>143.29310000000001</v>
      </c>
      <c r="G100" s="1">
        <v>20000</v>
      </c>
      <c r="H100" s="1">
        <v>143.0866</v>
      </c>
      <c r="I100" s="1">
        <v>143.434</v>
      </c>
      <c r="J100" s="1">
        <v>16.43</v>
      </c>
      <c r="K100" s="2">
        <v>2375.570000000394</v>
      </c>
      <c r="L100" s="1">
        <v>1754.4299999997154</v>
      </c>
      <c r="M100" s="1">
        <v>1.3540409135735136</v>
      </c>
      <c r="N100" s="1" t="s">
        <v>33</v>
      </c>
      <c r="O100" s="1" t="s">
        <v>86</v>
      </c>
      <c r="P100" s="1" t="str" cm="1">
        <f t="array" ref="P100">_xlfn.IFS(tbl_trade[[#This Row],[PnL]]&gt;0,"Win",tbl_trade[[#This Row],[PnL]]&lt;0,"Loss",TRUE,"BreakEven")</f>
        <v>Win</v>
      </c>
      <c r="Q100" s="1">
        <f>IF(tbl_trade[[#This Row],[PnL]]&gt;0,1,0)</f>
        <v>1</v>
      </c>
      <c r="R100" s="1" t="str">
        <f>TEXT(tbl_trade[[#This Row],[Date]],"yyyy-mm-dd")</f>
        <v>2024-08-22</v>
      </c>
      <c r="S100" s="1">
        <f>YEAR(tbl_trade[[#This Row],[Date]])</f>
        <v>2024</v>
      </c>
      <c r="T100" s="1" t="str">
        <f>TEXT(tbl_trade[[#This Row],[Date]],"mmm")</f>
        <v>Aug</v>
      </c>
      <c r="U100" s="1">
        <f>MONTH(tbl_trade[[#This Row],[Date]])</f>
        <v>8</v>
      </c>
      <c r="V100" s="1" t="str">
        <f>"Q"&amp;ROUNDUP(MONTH(tbl_trade[[#This Row],[Date]])/3,0)</f>
        <v>Q3</v>
      </c>
    </row>
    <row r="101" spans="1:22" x14ac:dyDescent="0.3">
      <c r="A101" s="18">
        <v>45530</v>
      </c>
      <c r="B101" s="1" t="s">
        <v>42</v>
      </c>
      <c r="C101" s="1" t="s">
        <v>15</v>
      </c>
      <c r="D101" s="1" t="s">
        <v>26</v>
      </c>
      <c r="E101" s="1">
        <v>140.30029999999999</v>
      </c>
      <c r="F101" s="1">
        <v>140.21530000000001</v>
      </c>
      <c r="G101" s="1">
        <v>20000</v>
      </c>
      <c r="H101" s="1">
        <v>140.1942</v>
      </c>
      <c r="I101" s="1">
        <v>140.65369999999999</v>
      </c>
      <c r="J101" s="1">
        <v>6.9</v>
      </c>
      <c r="K101" s="2">
        <v>-1706.8999999995908</v>
      </c>
      <c r="L101" s="1">
        <v>2128.8999999999573</v>
      </c>
      <c r="M101" s="1">
        <v>-0.80177556484551882</v>
      </c>
      <c r="N101" s="1" t="s">
        <v>30</v>
      </c>
      <c r="O101" s="1" t="s">
        <v>76</v>
      </c>
      <c r="P101" s="1" t="str" cm="1">
        <f t="array" ref="P101">_xlfn.IFS(tbl_trade[[#This Row],[PnL]]&gt;0,"Win",tbl_trade[[#This Row],[PnL]]&lt;0,"Loss",TRUE,"BreakEven")</f>
        <v>Loss</v>
      </c>
      <c r="Q101" s="1">
        <f>IF(tbl_trade[[#This Row],[PnL]]&gt;0,1,0)</f>
        <v>0</v>
      </c>
      <c r="R101" s="1" t="str">
        <f>TEXT(tbl_trade[[#This Row],[Date]],"yyyy-mm-dd")</f>
        <v>2024-08-26</v>
      </c>
      <c r="S101" s="1">
        <f>YEAR(tbl_trade[[#This Row],[Date]])</f>
        <v>2024</v>
      </c>
      <c r="T101" s="1" t="str">
        <f>TEXT(tbl_trade[[#This Row],[Date]],"mmm")</f>
        <v>Aug</v>
      </c>
      <c r="U101" s="1">
        <f>MONTH(tbl_trade[[#This Row],[Date]])</f>
        <v>8</v>
      </c>
      <c r="V101" s="1" t="str">
        <f>"Q"&amp;ROUNDUP(MONTH(tbl_trade[[#This Row],[Date]])/3,0)</f>
        <v>Q3</v>
      </c>
    </row>
  </sheetData>
  <conditionalFormatting sqref="D2:D101">
    <cfRule type="cellIs" dxfId="1" priority="2" operator="equal">
      <formula>"SHORT"</formula>
    </cfRule>
    <cfRule type="cellIs" dxfId="0" priority="3" operator="equal">
      <formula>"LONG"</formula>
    </cfRule>
  </conditionalFormatting>
  <conditionalFormatting sqref="K1:K1048576">
    <cfRule type="colorScale" priority="1">
      <colorScale>
        <cfvo type="min"/>
        <cfvo type="percentile" val="50"/>
        <cfvo type="max"/>
        <color rgb="FFF8696B"/>
        <color rgb="FFFCFCFF"/>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892D-F45C-4D5F-9039-6BEBCC595C67}">
  <sheetPr>
    <tabColor rgb="FF002060"/>
  </sheetPr>
  <dimension ref="A1:H102"/>
  <sheetViews>
    <sheetView tabSelected="1" zoomScale="91" workbookViewId="0">
      <selection activeCell="B1" sqref="B1"/>
    </sheetView>
  </sheetViews>
  <sheetFormatPr defaultRowHeight="14.4" x14ac:dyDescent="0.3"/>
  <cols>
    <col min="1" max="1" width="11.109375" bestFit="1" customWidth="1"/>
    <col min="2" max="2" width="12.109375" bestFit="1" customWidth="1"/>
    <col min="4" max="4" width="13.77734375" bestFit="1" customWidth="1"/>
    <col min="5" max="5" width="6.21875" bestFit="1" customWidth="1"/>
    <col min="7" max="7" width="12.33203125" bestFit="1" customWidth="1"/>
    <col min="8" max="8" width="12.109375" bestFit="1" customWidth="1"/>
  </cols>
  <sheetData>
    <row r="1" spans="1:8" x14ac:dyDescent="0.3">
      <c r="A1" s="7" t="s">
        <v>0</v>
      </c>
      <c r="B1" t="s">
        <v>96</v>
      </c>
    </row>
    <row r="2" spans="1:8" x14ac:dyDescent="0.3">
      <c r="A2" s="8" t="s">
        <v>106</v>
      </c>
      <c r="B2" s="9">
        <v>-29.059999999999864</v>
      </c>
      <c r="D2" s="7" t="s">
        <v>206</v>
      </c>
      <c r="E2" t="s">
        <v>105</v>
      </c>
      <c r="G2" s="7" t="s">
        <v>13</v>
      </c>
      <c r="H2" t="s">
        <v>96</v>
      </c>
    </row>
    <row r="3" spans="1:8" x14ac:dyDescent="0.3">
      <c r="A3" s="8" t="s">
        <v>107</v>
      </c>
      <c r="B3" s="9">
        <v>6.1200000000003634</v>
      </c>
      <c r="D3" s="8" t="s">
        <v>97</v>
      </c>
      <c r="E3" s="53">
        <v>53</v>
      </c>
      <c r="G3" s="8" t="s">
        <v>43</v>
      </c>
      <c r="H3" s="9">
        <v>5820.2104999996391</v>
      </c>
    </row>
    <row r="4" spans="1:8" x14ac:dyDescent="0.3">
      <c r="A4" s="8" t="s">
        <v>108</v>
      </c>
      <c r="B4" s="9">
        <v>-1.3699999999994539</v>
      </c>
      <c r="D4" s="8" t="s">
        <v>98</v>
      </c>
      <c r="E4" s="53">
        <v>47</v>
      </c>
      <c r="G4" s="8" t="s">
        <v>33</v>
      </c>
      <c r="H4" s="9">
        <v>4957.9927600001711</v>
      </c>
    </row>
    <row r="5" spans="1:8" x14ac:dyDescent="0.3">
      <c r="A5" s="8" t="s">
        <v>109</v>
      </c>
      <c r="B5" s="9">
        <v>76.139999999999944</v>
      </c>
      <c r="D5" s="8" t="s">
        <v>95</v>
      </c>
      <c r="E5" s="53">
        <v>100</v>
      </c>
      <c r="G5" s="8" t="s">
        <v>52</v>
      </c>
      <c r="H5" s="9">
        <v>1503.612530000024</v>
      </c>
    </row>
    <row r="6" spans="1:8" x14ac:dyDescent="0.3">
      <c r="A6" s="8" t="s">
        <v>110</v>
      </c>
      <c r="B6" s="9">
        <v>-48.89999999999975</v>
      </c>
      <c r="G6" s="8" t="s">
        <v>95</v>
      </c>
      <c r="H6" s="9">
        <v>12281.815789999833</v>
      </c>
    </row>
    <row r="7" spans="1:8" x14ac:dyDescent="0.3">
      <c r="A7" s="8" t="s">
        <v>111</v>
      </c>
      <c r="B7" s="9">
        <v>5783.8699999996415</v>
      </c>
    </row>
    <row r="8" spans="1:8" x14ac:dyDescent="0.3">
      <c r="A8" s="8" t="s">
        <v>112</v>
      </c>
      <c r="B8" s="9">
        <v>-34.849999999999497</v>
      </c>
    </row>
    <row r="9" spans="1:8" x14ac:dyDescent="0.3">
      <c r="A9" s="8" t="s">
        <v>113</v>
      </c>
      <c r="B9" s="9">
        <v>-6.4600000000006368</v>
      </c>
    </row>
    <row r="10" spans="1:8" x14ac:dyDescent="0.3">
      <c r="A10" s="8" t="s">
        <v>114</v>
      </c>
      <c r="B10" s="9">
        <v>436.67166000000026</v>
      </c>
    </row>
    <row r="11" spans="1:8" x14ac:dyDescent="0.3">
      <c r="A11" s="8" t="s">
        <v>115</v>
      </c>
      <c r="B11" s="9">
        <v>21.889999999999954</v>
      </c>
    </row>
    <row r="12" spans="1:8" x14ac:dyDescent="0.3">
      <c r="A12" s="8" t="s">
        <v>116</v>
      </c>
      <c r="B12" s="9">
        <v>-40.10999999999985</v>
      </c>
    </row>
    <row r="13" spans="1:8" x14ac:dyDescent="0.3">
      <c r="A13" s="8" t="s">
        <v>117</v>
      </c>
      <c r="B13" s="9">
        <v>57.140000000001734</v>
      </c>
    </row>
    <row r="14" spans="1:8" x14ac:dyDescent="0.3">
      <c r="A14" s="8" t="s">
        <v>118</v>
      </c>
      <c r="B14" s="9">
        <v>-25.649999999999451</v>
      </c>
    </row>
    <row r="15" spans="1:8" x14ac:dyDescent="0.3">
      <c r="A15" s="8" t="s">
        <v>119</v>
      </c>
      <c r="B15" s="9">
        <v>-36.339999999999449</v>
      </c>
    </row>
    <row r="16" spans="1:8" x14ac:dyDescent="0.3">
      <c r="A16" s="8" t="s">
        <v>120</v>
      </c>
      <c r="B16" s="9">
        <v>20.370000000000047</v>
      </c>
    </row>
    <row r="17" spans="1:2" x14ac:dyDescent="0.3">
      <c r="A17" s="8" t="s">
        <v>121</v>
      </c>
      <c r="B17" s="9">
        <v>41.860000000000056</v>
      </c>
    </row>
    <row r="18" spans="1:2" x14ac:dyDescent="0.3">
      <c r="A18" s="8" t="s">
        <v>122</v>
      </c>
      <c r="B18" s="9">
        <v>179.52670000000083</v>
      </c>
    </row>
    <row r="19" spans="1:2" x14ac:dyDescent="0.3">
      <c r="A19" s="8" t="s">
        <v>123</v>
      </c>
      <c r="B19" s="9">
        <v>-16.099999999999408</v>
      </c>
    </row>
    <row r="20" spans="1:2" x14ac:dyDescent="0.3">
      <c r="A20" s="8" t="s">
        <v>124</v>
      </c>
      <c r="B20" s="9">
        <v>107.67000000000012</v>
      </c>
    </row>
    <row r="21" spans="1:2" x14ac:dyDescent="0.3">
      <c r="A21" s="8" t="s">
        <v>125</v>
      </c>
      <c r="B21" s="9">
        <v>-12.96</v>
      </c>
    </row>
    <row r="22" spans="1:2" x14ac:dyDescent="0.3">
      <c r="A22" s="8" t="s">
        <v>126</v>
      </c>
      <c r="B22" s="9">
        <v>-7.9799999999995421</v>
      </c>
    </row>
    <row r="23" spans="1:2" x14ac:dyDescent="0.3">
      <c r="A23" s="8" t="s">
        <v>127</v>
      </c>
      <c r="B23" s="9">
        <v>-22.559999999999548</v>
      </c>
    </row>
    <row r="24" spans="1:2" x14ac:dyDescent="0.3">
      <c r="A24" s="8" t="s">
        <v>128</v>
      </c>
      <c r="B24" s="9">
        <v>-74.539239999999694</v>
      </c>
    </row>
    <row r="25" spans="1:2" x14ac:dyDescent="0.3">
      <c r="A25" s="8" t="s">
        <v>129</v>
      </c>
      <c r="B25" s="9">
        <v>107.76999999999978</v>
      </c>
    </row>
    <row r="26" spans="1:2" x14ac:dyDescent="0.3">
      <c r="A26" s="8" t="s">
        <v>130</v>
      </c>
      <c r="B26" s="9">
        <v>-21.580000000000339</v>
      </c>
    </row>
    <row r="27" spans="1:2" x14ac:dyDescent="0.3">
      <c r="A27" s="8" t="s">
        <v>131</v>
      </c>
      <c r="B27" s="9">
        <v>68.779999999999802</v>
      </c>
    </row>
    <row r="28" spans="1:2" x14ac:dyDescent="0.3">
      <c r="A28" s="8" t="s">
        <v>132</v>
      </c>
      <c r="B28" s="9">
        <v>-25.029999999999568</v>
      </c>
    </row>
    <row r="29" spans="1:2" x14ac:dyDescent="0.3">
      <c r="A29" s="8" t="s">
        <v>133</v>
      </c>
      <c r="B29" s="9">
        <v>-1537.2300000002665</v>
      </c>
    </row>
    <row r="30" spans="1:2" x14ac:dyDescent="0.3">
      <c r="A30" s="8" t="s">
        <v>134</v>
      </c>
      <c r="B30" s="9">
        <v>24.470000000001043</v>
      </c>
    </row>
    <row r="31" spans="1:2" x14ac:dyDescent="0.3">
      <c r="A31" s="8" t="s">
        <v>135</v>
      </c>
      <c r="B31" s="9">
        <v>12.390000000000091</v>
      </c>
    </row>
    <row r="32" spans="1:2" x14ac:dyDescent="0.3">
      <c r="A32" s="8" t="s">
        <v>136</v>
      </c>
      <c r="B32" s="9">
        <v>2.9300000000000903</v>
      </c>
    </row>
    <row r="33" spans="1:2" x14ac:dyDescent="0.3">
      <c r="A33" s="8" t="s">
        <v>137</v>
      </c>
      <c r="B33" s="9">
        <v>2580.2699999997762</v>
      </c>
    </row>
    <row r="34" spans="1:2" x14ac:dyDescent="0.3">
      <c r="A34" s="8" t="s">
        <v>138</v>
      </c>
      <c r="B34" s="9">
        <v>-14.100000000000454</v>
      </c>
    </row>
    <row r="35" spans="1:2" x14ac:dyDescent="0.3">
      <c r="A35" s="8" t="s">
        <v>139</v>
      </c>
      <c r="B35" s="9">
        <v>-0.52000000000004576</v>
      </c>
    </row>
    <row r="36" spans="1:2" x14ac:dyDescent="0.3">
      <c r="A36" s="8" t="s">
        <v>140</v>
      </c>
      <c r="B36" s="9">
        <v>-8.4199999999999555</v>
      </c>
    </row>
    <row r="37" spans="1:2" x14ac:dyDescent="0.3">
      <c r="A37" s="8" t="s">
        <v>141</v>
      </c>
      <c r="B37" s="9">
        <v>-21.99</v>
      </c>
    </row>
    <row r="38" spans="1:2" x14ac:dyDescent="0.3">
      <c r="A38" s="8" t="s">
        <v>142</v>
      </c>
      <c r="B38" s="9">
        <v>16.95999999999615</v>
      </c>
    </row>
    <row r="39" spans="1:2" x14ac:dyDescent="0.3">
      <c r="A39" s="8" t="s">
        <v>143</v>
      </c>
      <c r="B39" s="9">
        <v>-28.099999999999177</v>
      </c>
    </row>
    <row r="40" spans="1:2" x14ac:dyDescent="0.3">
      <c r="A40" s="8" t="s">
        <v>144</v>
      </c>
      <c r="B40" s="9">
        <v>-33.800000000000068</v>
      </c>
    </row>
    <row r="41" spans="1:2" x14ac:dyDescent="0.3">
      <c r="A41" s="8" t="s">
        <v>145</v>
      </c>
      <c r="B41" s="9">
        <v>17.560000000001704</v>
      </c>
    </row>
    <row r="42" spans="1:2" x14ac:dyDescent="0.3">
      <c r="A42" s="8" t="s">
        <v>146</v>
      </c>
      <c r="B42" s="9">
        <v>46.330000000000219</v>
      </c>
    </row>
    <row r="43" spans="1:2" x14ac:dyDescent="0.3">
      <c r="A43" s="8" t="s">
        <v>147</v>
      </c>
      <c r="B43" s="9">
        <v>-245.78896999999955</v>
      </c>
    </row>
    <row r="44" spans="1:2" x14ac:dyDescent="0.3">
      <c r="A44" s="8" t="s">
        <v>148</v>
      </c>
      <c r="B44" s="9">
        <v>-25.839999999999726</v>
      </c>
    </row>
    <row r="45" spans="1:2" x14ac:dyDescent="0.3">
      <c r="A45" s="8" t="s">
        <v>149</v>
      </c>
      <c r="B45" s="9">
        <v>208.07327000000032</v>
      </c>
    </row>
    <row r="46" spans="1:2" x14ac:dyDescent="0.3">
      <c r="A46" s="8" t="s">
        <v>150</v>
      </c>
      <c r="B46" s="9">
        <v>14.309999999996361</v>
      </c>
    </row>
    <row r="47" spans="1:2" x14ac:dyDescent="0.3">
      <c r="A47" s="8" t="s">
        <v>151</v>
      </c>
      <c r="B47" s="9">
        <v>-33.000000000000071</v>
      </c>
    </row>
    <row r="48" spans="1:2" x14ac:dyDescent="0.3">
      <c r="A48" s="8" t="s">
        <v>152</v>
      </c>
      <c r="B48" s="9">
        <v>-92.407620000001344</v>
      </c>
    </row>
    <row r="49" spans="1:2" x14ac:dyDescent="0.3">
      <c r="A49" s="8" t="s">
        <v>153</v>
      </c>
      <c r="B49" s="9">
        <v>-0.82000000000054563</v>
      </c>
    </row>
    <row r="50" spans="1:2" x14ac:dyDescent="0.3">
      <c r="A50" s="8" t="s">
        <v>154</v>
      </c>
      <c r="B50" s="9">
        <v>25.130000000001044</v>
      </c>
    </row>
    <row r="51" spans="1:2" x14ac:dyDescent="0.3">
      <c r="A51" s="8" t="s">
        <v>155</v>
      </c>
      <c r="B51" s="9">
        <v>76.960000000001884</v>
      </c>
    </row>
    <row r="52" spans="1:2" x14ac:dyDescent="0.3">
      <c r="A52" s="8" t="s">
        <v>156</v>
      </c>
      <c r="B52" s="9">
        <v>3.450000000000319</v>
      </c>
    </row>
    <row r="53" spans="1:2" x14ac:dyDescent="0.3">
      <c r="A53" s="8" t="s">
        <v>157</v>
      </c>
      <c r="B53" s="9">
        <v>10.690000000000273</v>
      </c>
    </row>
    <row r="54" spans="1:2" x14ac:dyDescent="0.3">
      <c r="A54" s="8" t="s">
        <v>158</v>
      </c>
      <c r="B54" s="9">
        <v>-42.550000000004175</v>
      </c>
    </row>
    <row r="55" spans="1:2" x14ac:dyDescent="0.3">
      <c r="A55" s="8" t="s">
        <v>159</v>
      </c>
      <c r="B55" s="9">
        <v>-12.579999999999682</v>
      </c>
    </row>
    <row r="56" spans="1:2" x14ac:dyDescent="0.3">
      <c r="A56" s="8" t="s">
        <v>160</v>
      </c>
      <c r="B56" s="9">
        <v>71.929999999999893</v>
      </c>
    </row>
    <row r="57" spans="1:2" x14ac:dyDescent="0.3">
      <c r="A57" s="8" t="s">
        <v>161</v>
      </c>
      <c r="B57" s="9">
        <v>96.100000000000051</v>
      </c>
    </row>
    <row r="58" spans="1:2" x14ac:dyDescent="0.3">
      <c r="A58" s="8" t="s">
        <v>162</v>
      </c>
      <c r="B58" s="9">
        <v>-14.019999999999712</v>
      </c>
    </row>
    <row r="59" spans="1:2" x14ac:dyDescent="0.3">
      <c r="A59" s="8" t="s">
        <v>163</v>
      </c>
      <c r="B59" s="9">
        <v>-2.910000000000359</v>
      </c>
    </row>
    <row r="60" spans="1:2" x14ac:dyDescent="0.3">
      <c r="A60" s="8" t="s">
        <v>164</v>
      </c>
      <c r="B60" s="9">
        <v>2169.7599999996382</v>
      </c>
    </row>
    <row r="61" spans="1:2" x14ac:dyDescent="0.3">
      <c r="A61" s="8" t="s">
        <v>165</v>
      </c>
      <c r="B61" s="9">
        <v>-40.099999999998019</v>
      </c>
    </row>
    <row r="62" spans="1:2" x14ac:dyDescent="0.3">
      <c r="A62" s="8" t="s">
        <v>166</v>
      </c>
      <c r="B62" s="9">
        <v>32.590000000001837</v>
      </c>
    </row>
    <row r="63" spans="1:2" x14ac:dyDescent="0.3">
      <c r="A63" s="8" t="s">
        <v>167</v>
      </c>
      <c r="B63" s="9">
        <v>-27.380000000000681</v>
      </c>
    </row>
    <row r="64" spans="1:2" x14ac:dyDescent="0.3">
      <c r="A64" s="8" t="s">
        <v>168</v>
      </c>
      <c r="B64" s="9">
        <v>-132.00562999999937</v>
      </c>
    </row>
    <row r="65" spans="1:2" x14ac:dyDescent="0.3">
      <c r="A65" s="8" t="s">
        <v>169</v>
      </c>
      <c r="B65" s="9">
        <v>55.498000000000182</v>
      </c>
    </row>
    <row r="66" spans="1:2" x14ac:dyDescent="0.3">
      <c r="A66" s="8" t="s">
        <v>170</v>
      </c>
      <c r="B66" s="9">
        <v>-27.820000000000181</v>
      </c>
    </row>
    <row r="67" spans="1:2" x14ac:dyDescent="0.3">
      <c r="A67" s="8" t="s">
        <v>171</v>
      </c>
      <c r="B67" s="9">
        <v>-31.759999999998016</v>
      </c>
    </row>
    <row r="68" spans="1:2" x14ac:dyDescent="0.3">
      <c r="A68" s="8" t="s">
        <v>172</v>
      </c>
      <c r="B68" s="9">
        <v>116.87239999999943</v>
      </c>
    </row>
    <row r="69" spans="1:2" x14ac:dyDescent="0.3">
      <c r="A69" s="8" t="s">
        <v>173</v>
      </c>
      <c r="B69" s="9">
        <v>-14.96000000000009</v>
      </c>
    </row>
    <row r="70" spans="1:2" x14ac:dyDescent="0.3">
      <c r="A70" s="8" t="s">
        <v>174</v>
      </c>
      <c r="B70" s="9">
        <v>-12.500000000000444</v>
      </c>
    </row>
    <row r="71" spans="1:2" x14ac:dyDescent="0.3">
      <c r="A71" s="8" t="s">
        <v>175</v>
      </c>
      <c r="B71" s="9">
        <v>-42.199999999996692</v>
      </c>
    </row>
    <row r="72" spans="1:2" x14ac:dyDescent="0.3">
      <c r="A72" s="8" t="s">
        <v>176</v>
      </c>
      <c r="B72" s="9">
        <v>-10.690000000000364</v>
      </c>
    </row>
    <row r="73" spans="1:2" x14ac:dyDescent="0.3">
      <c r="A73" s="8" t="s">
        <v>177</v>
      </c>
      <c r="B73" s="9">
        <v>2.6600000000005455</v>
      </c>
    </row>
    <row r="74" spans="1:2" x14ac:dyDescent="0.3">
      <c r="A74" s="8" t="s">
        <v>178</v>
      </c>
      <c r="B74" s="9">
        <v>4.6700000000003179</v>
      </c>
    </row>
    <row r="75" spans="1:2" x14ac:dyDescent="0.3">
      <c r="A75" s="8" t="s">
        <v>179</v>
      </c>
      <c r="B75" s="9">
        <v>24.890000000001379</v>
      </c>
    </row>
    <row r="76" spans="1:2" x14ac:dyDescent="0.3">
      <c r="A76" s="8" t="s">
        <v>180</v>
      </c>
      <c r="B76" s="9">
        <v>-41.290000000000134</v>
      </c>
    </row>
    <row r="77" spans="1:2" x14ac:dyDescent="0.3">
      <c r="A77" s="8" t="s">
        <v>181</v>
      </c>
      <c r="B77" s="9">
        <v>127.19600000000008</v>
      </c>
    </row>
    <row r="78" spans="1:2" x14ac:dyDescent="0.3">
      <c r="A78" s="8" t="s">
        <v>182</v>
      </c>
      <c r="B78" s="9">
        <v>12.859999999999488</v>
      </c>
    </row>
    <row r="79" spans="1:2" x14ac:dyDescent="0.3">
      <c r="A79" s="8" t="s">
        <v>183</v>
      </c>
      <c r="B79" s="9">
        <v>3.1999999999994557</v>
      </c>
    </row>
    <row r="80" spans="1:2" x14ac:dyDescent="0.3">
      <c r="A80" s="8" t="s">
        <v>184</v>
      </c>
      <c r="B80" s="9">
        <v>38.004000000000005</v>
      </c>
    </row>
    <row r="81" spans="1:2" x14ac:dyDescent="0.3">
      <c r="A81" s="8" t="s">
        <v>185</v>
      </c>
      <c r="B81" s="9">
        <v>134.01315000000017</v>
      </c>
    </row>
    <row r="82" spans="1:2" x14ac:dyDescent="0.3">
      <c r="A82" s="8" t="s">
        <v>186</v>
      </c>
      <c r="B82" s="9">
        <v>425.97333000000185</v>
      </c>
    </row>
    <row r="83" spans="1:2" x14ac:dyDescent="0.3">
      <c r="A83" s="8" t="s">
        <v>187</v>
      </c>
      <c r="B83" s="9">
        <v>72.73200000000007</v>
      </c>
    </row>
    <row r="84" spans="1:2" x14ac:dyDescent="0.3">
      <c r="A84" s="8" t="s">
        <v>188</v>
      </c>
      <c r="B84" s="9">
        <v>-43.399999999997249</v>
      </c>
    </row>
    <row r="85" spans="1:2" x14ac:dyDescent="0.3">
      <c r="A85" s="8" t="s">
        <v>189</v>
      </c>
      <c r="B85" s="9">
        <v>1827.8500000000226</v>
      </c>
    </row>
    <row r="86" spans="1:2" x14ac:dyDescent="0.3">
      <c r="A86" s="8" t="s">
        <v>190</v>
      </c>
      <c r="B86" s="9">
        <v>-33.560000000005672</v>
      </c>
    </row>
    <row r="87" spans="1:2" x14ac:dyDescent="0.3">
      <c r="A87" s="8" t="s">
        <v>191</v>
      </c>
      <c r="B87" s="9">
        <v>42.494399999999985</v>
      </c>
    </row>
    <row r="88" spans="1:2" x14ac:dyDescent="0.3">
      <c r="A88" s="8" t="s">
        <v>192</v>
      </c>
      <c r="B88" s="9">
        <v>-37.350000000000065</v>
      </c>
    </row>
    <row r="89" spans="1:2" x14ac:dyDescent="0.3">
      <c r="A89" s="8" t="s">
        <v>193</v>
      </c>
      <c r="B89" s="9">
        <v>-35.017499999999863</v>
      </c>
    </row>
    <row r="90" spans="1:2" x14ac:dyDescent="0.3">
      <c r="A90" s="8" t="s">
        <v>194</v>
      </c>
      <c r="B90" s="9">
        <v>-9.4700000000001374</v>
      </c>
    </row>
    <row r="91" spans="1:2" x14ac:dyDescent="0.3">
      <c r="A91" s="8" t="s">
        <v>195</v>
      </c>
      <c r="B91" s="9">
        <v>17.049999999999898</v>
      </c>
    </row>
    <row r="92" spans="1:2" x14ac:dyDescent="0.3">
      <c r="A92" s="8" t="s">
        <v>196</v>
      </c>
      <c r="B92" s="9">
        <v>52.029999999999632</v>
      </c>
    </row>
    <row r="93" spans="1:2" x14ac:dyDescent="0.3">
      <c r="A93" s="8" t="s">
        <v>197</v>
      </c>
      <c r="B93" s="9">
        <v>-27.710000000005671</v>
      </c>
    </row>
    <row r="94" spans="1:2" x14ac:dyDescent="0.3">
      <c r="A94" s="8" t="s">
        <v>198</v>
      </c>
      <c r="B94" s="9">
        <v>-12.589999999999748</v>
      </c>
    </row>
    <row r="95" spans="1:2" x14ac:dyDescent="0.3">
      <c r="A95" s="8" t="s">
        <v>199</v>
      </c>
      <c r="B95" s="9">
        <v>-77.99000000000359</v>
      </c>
    </row>
    <row r="96" spans="1:2" x14ac:dyDescent="0.3">
      <c r="A96" s="8" t="s">
        <v>200</v>
      </c>
      <c r="B96" s="9">
        <v>6.0999999999998185</v>
      </c>
    </row>
    <row r="97" spans="1:2" x14ac:dyDescent="0.3">
      <c r="A97" s="8" t="s">
        <v>201</v>
      </c>
      <c r="B97" s="9">
        <v>-15.669999999999778</v>
      </c>
    </row>
    <row r="98" spans="1:2" x14ac:dyDescent="0.3">
      <c r="A98" s="8" t="s">
        <v>202</v>
      </c>
      <c r="B98" s="9">
        <v>-49.388499999999908</v>
      </c>
    </row>
    <row r="99" spans="1:2" x14ac:dyDescent="0.3">
      <c r="A99" s="8" t="s">
        <v>203</v>
      </c>
      <c r="B99" s="9">
        <v>-39.019999999999456</v>
      </c>
    </row>
    <row r="100" spans="1:2" x14ac:dyDescent="0.3">
      <c r="A100" s="8" t="s">
        <v>204</v>
      </c>
      <c r="B100" s="9">
        <v>2375.570000000394</v>
      </c>
    </row>
    <row r="101" spans="1:2" x14ac:dyDescent="0.3">
      <c r="A101" s="8" t="s">
        <v>205</v>
      </c>
      <c r="B101" s="9">
        <v>-1706.8999999995908</v>
      </c>
    </row>
    <row r="102" spans="1:2" x14ac:dyDescent="0.3">
      <c r="A102" s="8" t="s">
        <v>95</v>
      </c>
      <c r="B102" s="9">
        <v>12671.037449999612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A81D-1CC9-49FE-BF96-49623B2D1496}">
  <sheetPr>
    <tabColor rgb="FF002060"/>
  </sheetPr>
  <dimension ref="B1:W25"/>
  <sheetViews>
    <sheetView showGridLines="0" zoomScale="79" zoomScaleNormal="100" workbookViewId="0">
      <selection activeCell="I25" sqref="I25"/>
    </sheetView>
  </sheetViews>
  <sheetFormatPr defaultRowHeight="14.4" x14ac:dyDescent="0.3"/>
  <cols>
    <col min="1" max="1" width="3.33203125" style="3" customWidth="1"/>
    <col min="2" max="16" width="8.88671875" style="3"/>
    <col min="17" max="17" width="8.88671875" style="3" customWidth="1"/>
    <col min="18" max="22" width="8.88671875" style="3"/>
    <col min="23" max="23" width="77.77734375" style="3" customWidth="1"/>
    <col min="24" max="16384" width="8.88671875" style="3"/>
  </cols>
  <sheetData>
    <row r="1" spans="2:22" ht="30" customHeight="1" thickBot="1" x14ac:dyDescent="0.35">
      <c r="B1" s="38" t="s">
        <v>19</v>
      </c>
      <c r="C1" s="39"/>
      <c r="D1" s="39"/>
      <c r="E1" s="39"/>
      <c r="F1" s="39"/>
      <c r="G1" s="39"/>
      <c r="H1" s="39"/>
      <c r="I1" s="39"/>
      <c r="J1" s="39"/>
      <c r="K1" s="39"/>
      <c r="L1" s="39"/>
      <c r="M1" s="39"/>
      <c r="N1" s="39"/>
      <c r="O1" s="39"/>
      <c r="P1" s="39"/>
      <c r="Q1" s="39"/>
      <c r="R1" s="39"/>
      <c r="S1" s="39"/>
      <c r="T1" s="39"/>
      <c r="U1" s="39"/>
      <c r="V1" s="40"/>
    </row>
    <row r="2" spans="2:22" ht="15" thickBot="1" x14ac:dyDescent="0.35">
      <c r="B2" s="23"/>
      <c r="C2" s="43">
        <f>COUNTA(tbl_trade[Date])</f>
        <v>100</v>
      </c>
      <c r="D2" s="44"/>
      <c r="E2" s="23"/>
      <c r="F2" s="43">
        <f>SUM(tbl_trade[Win/Loss])</f>
        <v>47</v>
      </c>
      <c r="G2" s="44"/>
      <c r="H2" s="23"/>
      <c r="I2" s="49">
        <f>IFERROR(SUM(tbl_trade[Win/Loss])/COUNTA(tbl_trade[Date]),0)</f>
        <v>0.47</v>
      </c>
      <c r="J2" s="50"/>
      <c r="K2" s="23"/>
      <c r="L2" s="51">
        <f>AVERAGEIF(tbl_trade[PnL],"&gt;0",tbl_trade[PnL])</f>
        <v>375.68882787232934</v>
      </c>
      <c r="M2" s="52"/>
      <c r="N2" s="23"/>
      <c r="O2" s="51">
        <f>MAX(tbl_trade[PnL])</f>
        <v>5783.8699999996415</v>
      </c>
      <c r="P2" s="52"/>
      <c r="Q2" s="23"/>
      <c r="R2" s="32">
        <f>AVERAGE(tbl_trade[PnL])</f>
        <v>126.71037449999612</v>
      </c>
      <c r="S2" s="33"/>
      <c r="T2" s="20" t="s">
        <v>99</v>
      </c>
      <c r="U2" s="21"/>
      <c r="V2" s="22"/>
    </row>
    <row r="3" spans="2:22" x14ac:dyDescent="0.3">
      <c r="B3" s="23"/>
      <c r="C3" s="43"/>
      <c r="D3" s="44"/>
      <c r="E3" s="23"/>
      <c r="F3" s="43"/>
      <c r="G3" s="44"/>
      <c r="H3" s="23"/>
      <c r="I3" s="49"/>
      <c r="J3" s="50"/>
      <c r="K3" s="23"/>
      <c r="L3" s="51"/>
      <c r="M3" s="52"/>
      <c r="N3" s="23"/>
      <c r="O3" s="51"/>
      <c r="P3" s="52"/>
      <c r="Q3" s="23"/>
      <c r="R3" s="32"/>
      <c r="S3" s="33"/>
      <c r="T3" s="23"/>
      <c r="U3" s="24"/>
      <c r="V3" s="25"/>
    </row>
    <row r="4" spans="2:22" ht="15" thickBot="1" x14ac:dyDescent="0.35">
      <c r="B4" s="26" t="s">
        <v>17</v>
      </c>
      <c r="C4" s="27"/>
      <c r="D4" s="28"/>
      <c r="E4" s="26" t="s">
        <v>20</v>
      </c>
      <c r="F4" s="27"/>
      <c r="G4" s="28"/>
      <c r="H4" s="26" t="s">
        <v>21</v>
      </c>
      <c r="I4" s="27"/>
      <c r="J4" s="28"/>
      <c r="K4" s="26" t="s">
        <v>88</v>
      </c>
      <c r="L4" s="27"/>
      <c r="M4" s="28"/>
      <c r="N4" s="26" t="s">
        <v>90</v>
      </c>
      <c r="O4" s="27"/>
      <c r="P4" s="28"/>
      <c r="Q4" s="26" t="s">
        <v>22</v>
      </c>
      <c r="R4" s="27"/>
      <c r="S4" s="27"/>
      <c r="T4" s="23"/>
      <c r="U4" s="24"/>
      <c r="V4" s="25"/>
    </row>
    <row r="5" spans="2:22" ht="15" thickBot="1" x14ac:dyDescent="0.35">
      <c r="B5" s="4"/>
      <c r="C5" s="4"/>
      <c r="D5" s="4"/>
      <c r="E5" s="4"/>
      <c r="F5" s="4"/>
      <c r="G5" s="4"/>
      <c r="H5" s="4"/>
      <c r="I5" s="4"/>
      <c r="J5" s="4"/>
      <c r="K5" s="4"/>
      <c r="L5" s="4"/>
      <c r="M5" s="4"/>
      <c r="N5" s="4"/>
      <c r="O5" s="4"/>
      <c r="P5" s="4"/>
      <c r="Q5" s="4"/>
      <c r="R5" s="4"/>
      <c r="S5" s="4"/>
      <c r="T5" s="10"/>
      <c r="U5" s="11"/>
      <c r="V5" s="12"/>
    </row>
    <row r="6" spans="2:22" x14ac:dyDescent="0.3">
      <c r="B6" s="29"/>
      <c r="C6" s="41">
        <f>COUNTA(_xlfn.UNIQUE(tbl_trade[Date]))</f>
        <v>100</v>
      </c>
      <c r="D6" s="42"/>
      <c r="E6" s="29"/>
      <c r="F6" s="45">
        <f>C2-F2</f>
        <v>53</v>
      </c>
      <c r="G6" s="46"/>
      <c r="H6" s="29"/>
      <c r="I6" s="30">
        <f>(L2*I2)-(L6*(1-I2))</f>
        <v>126.71037449999616</v>
      </c>
      <c r="J6" s="42"/>
      <c r="K6" s="29"/>
      <c r="L6" s="30">
        <f>ABS(AVERAGEIF(tbl_trade[PnL],"&lt;0",tbl_trade[PnL]))</f>
        <v>94.081838867921931</v>
      </c>
      <c r="M6" s="31"/>
      <c r="N6" s="29"/>
      <c r="O6" s="30">
        <f>MIN(tbl_trade[PnL])</f>
        <v>-1706.8999999995908</v>
      </c>
      <c r="P6" s="31"/>
      <c r="Q6" s="29"/>
      <c r="R6" s="34">
        <f>SUM(tbl_trade[PnL])</f>
        <v>12671.037449999612</v>
      </c>
      <c r="S6" s="35"/>
      <c r="T6" s="10"/>
      <c r="U6" s="11"/>
      <c r="V6" s="12"/>
    </row>
    <row r="7" spans="2:22" x14ac:dyDescent="0.3">
      <c r="B7" s="23"/>
      <c r="C7" s="43"/>
      <c r="D7" s="44"/>
      <c r="E7" s="23"/>
      <c r="F7" s="47"/>
      <c r="G7" s="48"/>
      <c r="H7" s="23"/>
      <c r="I7" s="43"/>
      <c r="J7" s="44"/>
      <c r="K7" s="23"/>
      <c r="L7" s="32"/>
      <c r="M7" s="33"/>
      <c r="N7" s="23"/>
      <c r="O7" s="32"/>
      <c r="P7" s="33"/>
      <c r="Q7" s="23"/>
      <c r="R7" s="36"/>
      <c r="S7" s="37"/>
      <c r="T7" s="10"/>
      <c r="U7" s="11"/>
      <c r="V7" s="12"/>
    </row>
    <row r="8" spans="2:22" ht="15" thickBot="1" x14ac:dyDescent="0.35">
      <c r="B8" s="26" t="s">
        <v>23</v>
      </c>
      <c r="C8" s="27"/>
      <c r="D8" s="28"/>
      <c r="E8" s="26" t="s">
        <v>87</v>
      </c>
      <c r="F8" s="27"/>
      <c r="G8" s="28"/>
      <c r="H8" s="26" t="s">
        <v>92</v>
      </c>
      <c r="I8" s="27"/>
      <c r="J8" s="28"/>
      <c r="K8" s="26" t="s">
        <v>89</v>
      </c>
      <c r="L8" s="27"/>
      <c r="M8" s="28"/>
      <c r="N8" s="26" t="s">
        <v>91</v>
      </c>
      <c r="O8" s="27"/>
      <c r="P8" s="28"/>
      <c r="Q8" s="26" t="s">
        <v>18</v>
      </c>
      <c r="R8" s="27"/>
      <c r="S8" s="27"/>
      <c r="T8" s="10"/>
      <c r="U8" s="11"/>
      <c r="V8" s="12"/>
    </row>
    <row r="9" spans="2:22" x14ac:dyDescent="0.3">
      <c r="B9" s="4"/>
      <c r="C9" s="4"/>
      <c r="D9" s="4"/>
      <c r="E9" s="4"/>
      <c r="F9" s="4"/>
      <c r="G9" s="4"/>
      <c r="H9" s="4"/>
      <c r="I9" s="4"/>
      <c r="J9" s="4"/>
      <c r="K9" s="4"/>
      <c r="L9" s="4"/>
      <c r="M9" s="4"/>
      <c r="N9" s="4"/>
      <c r="O9" s="4"/>
      <c r="P9" s="4"/>
      <c r="Q9" s="4"/>
      <c r="R9" s="4"/>
      <c r="S9" s="4"/>
      <c r="T9" s="10"/>
      <c r="U9" s="11"/>
      <c r="V9" s="12"/>
    </row>
    <row r="10" spans="2:22" x14ac:dyDescent="0.3">
      <c r="B10" s="4"/>
      <c r="C10" s="4"/>
      <c r="D10" s="4"/>
      <c r="E10" s="4"/>
      <c r="F10" s="4"/>
      <c r="G10" s="4"/>
      <c r="H10" s="4"/>
      <c r="I10" s="4"/>
      <c r="J10" s="4"/>
      <c r="K10" s="4"/>
      <c r="L10" s="4"/>
      <c r="M10" s="4"/>
      <c r="N10" s="4"/>
      <c r="O10" s="4"/>
      <c r="P10" s="4"/>
      <c r="Q10" s="4"/>
      <c r="R10" s="4"/>
      <c r="S10" s="19"/>
      <c r="T10" s="10"/>
      <c r="U10" s="11"/>
      <c r="V10" s="12"/>
    </row>
    <row r="11" spans="2:22" x14ac:dyDescent="0.3">
      <c r="B11" s="4"/>
      <c r="C11" s="4"/>
      <c r="D11" s="4"/>
      <c r="E11" s="4"/>
      <c r="F11" s="4"/>
      <c r="G11" s="4"/>
      <c r="H11" s="4"/>
      <c r="I11" s="4"/>
      <c r="J11" s="4"/>
      <c r="K11" s="4"/>
      <c r="L11" s="4"/>
      <c r="M11" s="4"/>
      <c r="N11" s="4"/>
      <c r="O11" s="4"/>
      <c r="P11" s="4"/>
      <c r="Q11" s="4"/>
      <c r="R11" s="4"/>
      <c r="S11" s="4"/>
      <c r="T11" s="10"/>
      <c r="U11" s="11"/>
      <c r="V11" s="12"/>
    </row>
    <row r="12" spans="2:22" x14ac:dyDescent="0.3">
      <c r="B12" s="4"/>
      <c r="C12" s="4"/>
      <c r="D12" s="4"/>
      <c r="E12" s="4"/>
      <c r="F12" s="4"/>
      <c r="G12" s="4"/>
      <c r="H12" s="4"/>
      <c r="I12" s="4"/>
      <c r="J12" s="4"/>
      <c r="K12" s="4"/>
      <c r="L12" s="4"/>
      <c r="M12" s="4"/>
      <c r="N12" s="4"/>
      <c r="O12" s="4"/>
      <c r="P12" s="4"/>
      <c r="Q12" s="4"/>
      <c r="R12" s="4"/>
      <c r="S12" s="4"/>
      <c r="T12" s="10"/>
      <c r="U12" s="11"/>
      <c r="V12" s="12"/>
    </row>
    <row r="13" spans="2:22" x14ac:dyDescent="0.3">
      <c r="B13" s="4"/>
      <c r="C13" s="4"/>
      <c r="D13" s="4"/>
      <c r="E13" s="4"/>
      <c r="F13" s="4"/>
      <c r="G13" s="4"/>
      <c r="H13" s="4"/>
      <c r="I13" s="4"/>
      <c r="J13" s="4"/>
      <c r="K13" s="4"/>
      <c r="L13" s="4"/>
      <c r="M13" s="4"/>
      <c r="N13" s="4"/>
      <c r="O13" s="4"/>
      <c r="P13" s="4"/>
      <c r="Q13" s="4"/>
      <c r="R13" s="4"/>
      <c r="S13" s="4"/>
      <c r="T13" s="10"/>
      <c r="U13" s="11"/>
      <c r="V13" s="12"/>
    </row>
    <row r="14" spans="2:22" x14ac:dyDescent="0.3">
      <c r="B14" s="4"/>
      <c r="C14" s="4"/>
      <c r="D14" s="4"/>
      <c r="E14" s="4"/>
      <c r="F14" s="4"/>
      <c r="G14" s="4"/>
      <c r="H14" s="4"/>
      <c r="I14" s="4"/>
      <c r="J14" s="4"/>
      <c r="K14" s="4"/>
      <c r="L14" s="4"/>
      <c r="M14" s="4"/>
      <c r="N14" s="4"/>
      <c r="O14" s="4"/>
      <c r="P14" s="4"/>
      <c r="Q14" s="4"/>
      <c r="R14" s="4"/>
      <c r="S14" s="4"/>
      <c r="T14" s="10"/>
      <c r="U14" s="11"/>
      <c r="V14" s="12"/>
    </row>
    <row r="15" spans="2:22" x14ac:dyDescent="0.3">
      <c r="B15" s="4"/>
      <c r="C15" s="4"/>
      <c r="D15" s="4"/>
      <c r="E15" s="4"/>
      <c r="F15" s="4"/>
      <c r="G15" s="4"/>
      <c r="H15" s="4"/>
      <c r="I15" s="4"/>
      <c r="J15" s="4"/>
      <c r="K15" s="4"/>
      <c r="L15" s="4"/>
      <c r="M15" s="4"/>
      <c r="N15" s="4"/>
      <c r="O15" s="4"/>
      <c r="P15" s="4"/>
      <c r="Q15" s="4"/>
      <c r="R15" s="4"/>
      <c r="S15" s="4"/>
      <c r="T15" s="10"/>
      <c r="U15" s="11"/>
      <c r="V15" s="12"/>
    </row>
    <row r="16" spans="2:22" x14ac:dyDescent="0.3">
      <c r="B16" s="4"/>
      <c r="C16" s="4"/>
      <c r="D16" s="4"/>
      <c r="E16" s="4"/>
      <c r="F16" s="4"/>
      <c r="G16" s="4"/>
      <c r="H16" s="4"/>
      <c r="I16" s="4"/>
      <c r="J16" s="4"/>
      <c r="K16" s="4"/>
      <c r="L16" s="4"/>
      <c r="M16" s="4"/>
      <c r="N16" s="4"/>
      <c r="O16" s="4"/>
      <c r="P16" s="4"/>
      <c r="Q16" s="4"/>
      <c r="R16" s="4"/>
      <c r="S16" s="4"/>
      <c r="T16" s="10"/>
      <c r="U16" s="11"/>
      <c r="V16" s="12"/>
    </row>
    <row r="17" spans="2:23" x14ac:dyDescent="0.3">
      <c r="B17" s="4"/>
      <c r="C17" s="4"/>
      <c r="D17" s="4"/>
      <c r="E17" s="4"/>
      <c r="F17" s="4"/>
      <c r="G17" s="4"/>
      <c r="H17" s="4"/>
      <c r="I17" s="4"/>
      <c r="J17" s="4"/>
      <c r="K17" s="4"/>
      <c r="L17" s="4"/>
      <c r="M17" s="4"/>
      <c r="N17" s="4"/>
      <c r="O17" s="4"/>
      <c r="P17" s="4"/>
      <c r="Q17" s="4"/>
      <c r="R17" s="4"/>
      <c r="S17" s="4"/>
      <c r="T17" s="10"/>
      <c r="U17" s="11"/>
      <c r="V17" s="12"/>
    </row>
    <row r="18" spans="2:23" x14ac:dyDescent="0.3">
      <c r="B18" s="4"/>
      <c r="C18" s="4"/>
      <c r="D18" s="4"/>
      <c r="E18" s="4"/>
      <c r="F18" s="4"/>
      <c r="G18" s="4"/>
      <c r="H18" s="4"/>
      <c r="I18" s="4"/>
      <c r="J18" s="4"/>
      <c r="K18" s="4"/>
      <c r="L18" s="4"/>
      <c r="M18" s="4"/>
      <c r="N18" s="4"/>
      <c r="O18" s="4"/>
      <c r="P18" s="4"/>
      <c r="Q18" s="4"/>
      <c r="R18" s="4"/>
      <c r="S18" s="4"/>
      <c r="T18" s="10"/>
      <c r="U18" s="11"/>
      <c r="V18" s="12"/>
    </row>
    <row r="19" spans="2:23" x14ac:dyDescent="0.3">
      <c r="B19" s="4"/>
      <c r="C19" s="4"/>
      <c r="D19" s="4"/>
      <c r="E19" s="4"/>
      <c r="F19" s="4"/>
      <c r="G19" s="4"/>
      <c r="H19" s="4"/>
      <c r="I19" s="4"/>
      <c r="J19" s="4"/>
      <c r="K19" s="4"/>
      <c r="L19" s="4"/>
      <c r="M19" s="4"/>
      <c r="N19" s="4"/>
      <c r="O19" s="4"/>
      <c r="P19" s="4"/>
      <c r="Q19" s="4"/>
      <c r="R19" s="4"/>
      <c r="S19" s="4"/>
      <c r="T19" s="10"/>
      <c r="U19" s="11"/>
      <c r="V19" s="12"/>
    </row>
    <row r="20" spans="2:23" x14ac:dyDescent="0.3">
      <c r="B20" s="4"/>
      <c r="C20" s="4"/>
      <c r="D20" s="4"/>
      <c r="E20" s="4"/>
      <c r="F20" s="4"/>
      <c r="G20" s="4"/>
      <c r="H20" s="4"/>
      <c r="I20" s="4"/>
      <c r="J20" s="4"/>
      <c r="K20" s="4"/>
      <c r="L20" s="4"/>
      <c r="M20" s="4"/>
      <c r="N20" s="4"/>
      <c r="O20" s="4"/>
      <c r="P20" s="4"/>
      <c r="Q20" s="4"/>
      <c r="R20" s="4"/>
      <c r="S20" s="4"/>
      <c r="T20" s="10"/>
      <c r="U20" s="11"/>
      <c r="V20" s="12"/>
    </row>
    <row r="21" spans="2:23" x14ac:dyDescent="0.3">
      <c r="B21" s="4"/>
      <c r="C21" s="4"/>
      <c r="D21" s="4"/>
      <c r="E21" s="4"/>
      <c r="F21" s="4"/>
      <c r="G21" s="4"/>
      <c r="H21" s="4"/>
      <c r="I21" s="4"/>
      <c r="J21" s="4"/>
      <c r="K21" s="4"/>
      <c r="L21" s="4"/>
      <c r="M21" s="4"/>
      <c r="N21" s="4"/>
      <c r="O21" s="4"/>
      <c r="P21" s="4"/>
      <c r="Q21" s="4"/>
      <c r="R21" s="4"/>
      <c r="S21" s="4"/>
      <c r="T21" s="10"/>
      <c r="U21" s="11"/>
      <c r="V21" s="12"/>
    </row>
    <row r="22" spans="2:23" x14ac:dyDescent="0.3">
      <c r="B22" s="4"/>
      <c r="C22" s="4"/>
      <c r="D22" s="4"/>
      <c r="E22" s="4"/>
      <c r="F22" s="4"/>
      <c r="G22" s="4"/>
      <c r="H22" s="4"/>
      <c r="I22" s="4"/>
      <c r="J22" s="4"/>
      <c r="K22" s="4"/>
      <c r="L22" s="4"/>
      <c r="M22" s="4"/>
      <c r="N22" s="4"/>
      <c r="O22" s="4"/>
      <c r="P22" s="4"/>
      <c r="Q22" s="4"/>
      <c r="R22" s="4"/>
      <c r="S22" s="4"/>
      <c r="T22" s="10"/>
      <c r="U22" s="11"/>
      <c r="V22" s="12"/>
    </row>
    <row r="23" spans="2:23" x14ac:dyDescent="0.3">
      <c r="B23" s="4"/>
      <c r="C23" s="4"/>
      <c r="D23" s="4"/>
      <c r="E23" s="4"/>
      <c r="F23" s="4"/>
      <c r="G23" s="4"/>
      <c r="H23" s="4"/>
      <c r="I23" s="4"/>
      <c r="J23" s="4"/>
      <c r="K23" s="4"/>
      <c r="L23" s="4"/>
      <c r="M23" s="4"/>
      <c r="N23" s="4"/>
      <c r="O23" s="4"/>
      <c r="P23" s="4"/>
      <c r="Q23" s="4"/>
      <c r="R23" s="4"/>
      <c r="S23" s="4"/>
      <c r="T23" s="10"/>
      <c r="U23" s="11"/>
      <c r="V23" s="12"/>
    </row>
    <row r="24" spans="2:23" ht="15" thickBot="1" x14ac:dyDescent="0.35">
      <c r="B24" s="4"/>
      <c r="C24" s="4"/>
      <c r="D24" s="4"/>
      <c r="E24" s="4"/>
      <c r="F24" s="4"/>
      <c r="G24" s="4"/>
      <c r="H24" s="4"/>
      <c r="I24" s="4"/>
      <c r="J24" s="4"/>
      <c r="K24" s="4"/>
      <c r="L24" s="4"/>
      <c r="M24" s="4"/>
      <c r="N24" s="4"/>
      <c r="O24" s="4"/>
      <c r="P24" s="4"/>
      <c r="Q24" s="4"/>
      <c r="R24" s="4"/>
      <c r="S24" s="4"/>
      <c r="T24" s="13"/>
      <c r="U24" s="14"/>
      <c r="V24" s="15"/>
    </row>
    <row r="25" spans="2:23" ht="187.2" x14ac:dyDescent="0.3">
      <c r="W25" s="16" t="s">
        <v>104</v>
      </c>
    </row>
  </sheetData>
  <mergeCells count="39">
    <mergeCell ref="B2:B3"/>
    <mergeCell ref="E2:E3"/>
    <mergeCell ref="C2:D3"/>
    <mergeCell ref="F2:G3"/>
    <mergeCell ref="I2:J3"/>
    <mergeCell ref="L2:M3"/>
    <mergeCell ref="O2:P3"/>
    <mergeCell ref="B1:V1"/>
    <mergeCell ref="Q2:Q3"/>
    <mergeCell ref="R2:S3"/>
    <mergeCell ref="Q4:S4"/>
    <mergeCell ref="B6:B7"/>
    <mergeCell ref="C6:D7"/>
    <mergeCell ref="E6:E7"/>
    <mergeCell ref="F6:G7"/>
    <mergeCell ref="H6:H7"/>
    <mergeCell ref="I6:J7"/>
    <mergeCell ref="H2:H3"/>
    <mergeCell ref="K2:K3"/>
    <mergeCell ref="N2:N3"/>
    <mergeCell ref="B4:D4"/>
    <mergeCell ref="E4:G4"/>
    <mergeCell ref="H4:J4"/>
    <mergeCell ref="T2:V2"/>
    <mergeCell ref="T3:V4"/>
    <mergeCell ref="B8:D8"/>
    <mergeCell ref="E8:G8"/>
    <mergeCell ref="H8:J8"/>
    <mergeCell ref="K8:M8"/>
    <mergeCell ref="N8:P8"/>
    <mergeCell ref="Q8:S8"/>
    <mergeCell ref="K6:K7"/>
    <mergeCell ref="L6:M7"/>
    <mergeCell ref="N6:N7"/>
    <mergeCell ref="O6:P7"/>
    <mergeCell ref="Q6:Q7"/>
    <mergeCell ref="R6:S7"/>
    <mergeCell ref="K4:M4"/>
    <mergeCell ref="N4: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Trade Log</vt:lpstr>
      <vt:lpstr>Helper_Data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Asiya Nizam</cp:lastModifiedBy>
  <dcterms:created xsi:type="dcterms:W3CDTF">2026-06-24T12:32:22Z</dcterms:created>
  <dcterms:modified xsi:type="dcterms:W3CDTF">2026-06-27T15:15:57Z</dcterms:modified>
</cp:coreProperties>
</file>