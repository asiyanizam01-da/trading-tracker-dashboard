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SIYA_NIZAM\TRAINING\DATA ANALYSIS\Portfolio Projects\Trading Dashboard\Dashboard\"/>
    </mc:Choice>
  </mc:AlternateContent>
  <xr:revisionPtr revIDLastSave="0" documentId="13_ncr:1_{5466CBE5-193E-4A2D-9E33-2668545F964F}" xr6:coauthVersionLast="47" xr6:coauthVersionMax="47" xr10:uidLastSave="{00000000-0000-0000-0000-000000000000}"/>
  <bookViews>
    <workbookView xWindow="-108" yWindow="-108" windowWidth="23256" windowHeight="12456" xr2:uid="{00000000-000D-0000-FFFF-FFFF00000000}"/>
  </bookViews>
  <sheets>
    <sheet name="Trade Log" sheetId="1" r:id="rId1"/>
    <sheet name="Helper_Data" sheetId="5" r:id="rId2"/>
    <sheet name="Dashboard" sheetId="3" r:id="rId3"/>
  </sheets>
  <definedNames>
    <definedName name="Slicer_Direction">#N/A</definedName>
    <definedName name="Slicer_Month">#N/A</definedName>
    <definedName name="Slicer_Symbol">#N/A</definedName>
    <definedName name="Slicer_Year">#N/A</definedName>
  </definedNames>
  <calcPr calcId="191029"/>
  <pivotCaches>
    <pivotCache cacheId="9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a="1"/>
  <c r="P2" i="1" s="1"/>
  <c r="Q2" i="1"/>
  <c r="V2" i="1"/>
  <c r="U2" i="1"/>
  <c r="T2" i="1"/>
  <c r="S2" i="1"/>
  <c r="R2" i="1"/>
  <c r="C6" i="3"/>
  <c r="C2" i="3"/>
  <c r="O6" i="3"/>
  <c r="O2" i="3"/>
  <c r="L6" i="3"/>
  <c r="L2" i="3"/>
  <c r="R2" i="3"/>
  <c r="R6" i="3"/>
  <c r="I2" i="3" l="1"/>
  <c r="I6" i="3" s="1"/>
  <c r="F2" i="3"/>
  <c r="F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<sst xmlns="http://schemas.openxmlformats.org/spreadsheetml/2006/main" count="45" uniqueCount="41">
  <si>
    <t>Date</t>
  </si>
  <si>
    <t>Symbol</t>
  </si>
  <si>
    <t>Market</t>
  </si>
  <si>
    <t>Direction</t>
  </si>
  <si>
    <t>Entry Price</t>
  </si>
  <si>
    <t>Exit Price</t>
  </si>
  <si>
    <t>Position Size</t>
  </si>
  <si>
    <t>Stop Loss</t>
  </si>
  <si>
    <t>Take Profit</t>
  </si>
  <si>
    <t>Fees</t>
  </si>
  <si>
    <t>PnL</t>
  </si>
  <si>
    <t>Risk (R)</t>
  </si>
  <si>
    <t>RR Ratio</t>
  </si>
  <si>
    <t>Strategy</t>
  </si>
  <si>
    <t>Notes</t>
  </si>
  <si>
    <t>Total Trades</t>
  </si>
  <si>
    <t>Total PnL</t>
  </si>
  <si>
    <t>Paili's Trading Dashboard</t>
  </si>
  <si>
    <t>#Winning Trades</t>
  </si>
  <si>
    <t>Win Rate%</t>
  </si>
  <si>
    <t>Average PnL</t>
  </si>
  <si>
    <t>Trading Days</t>
  </si>
  <si>
    <t>#Losing Trades</t>
  </si>
  <si>
    <t>Average Win</t>
  </si>
  <si>
    <t>Average Loss</t>
  </si>
  <si>
    <t>Best Trade</t>
  </si>
  <si>
    <t>Worst Trade</t>
  </si>
  <si>
    <t>Expectancy</t>
  </si>
  <si>
    <t>Trade Status</t>
  </si>
  <si>
    <t>Trading Day</t>
  </si>
  <si>
    <t>Grand Total</t>
  </si>
  <si>
    <t>Sum of PnL</t>
  </si>
  <si>
    <t>Year</t>
  </si>
  <si>
    <t>Month</t>
  </si>
  <si>
    <t>Month No</t>
  </si>
  <si>
    <t>Quarter</t>
  </si>
  <si>
    <t>Win/Loss</t>
  </si>
  <si>
    <t>Note: Expectancy is the average amount of profit or loss you can expect per trade over a large number of trades, based on your win rate and the size of your average wins and losses.
In simple terms, it measures your trading “edge” by combining how often you win and how much you win or lose when you do.
Mathematically, it is:
Expectancy = (Win Rate × Average Win) − (Loss Rate × Average Loss)
A positive expectancy means your strategy is profitable in the long run, while a negative expectancy means it will lose money over time, even if you win many trades.</t>
  </si>
  <si>
    <t>Count</t>
  </si>
  <si>
    <t>TradeStatus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</si>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</sst>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00_ ;_-[$$-409]* \-#,##0.00\ ;_-[$$-409]* &quot;-&quot;??_ ;_-@_ "/>
    <numFmt numFmtId="165" formatCode="0.0%"/>
    <numFmt numFmtId="166" formatCode="[$$-409]#,##0.00_ ;\-[$$-409]#,##0.00\ "/>
    <numFmt numFmtId="167" formatCode="[$$-409]#,##0.00"/>
    <numFmt numFmtId="168" formatCode="[$-F800]dddd\,\ mmmm\ dd\,\ yyyy"/>
  </numFmts>
  <fonts count="8" x14ac:knownFonts="1">
    <font>
      <sz val="11"/>
      <color theme="1"/>
      <name val="Calibri"/>
      <family val="2"/>
      <scheme val="minor"/>
    </font>
    <font>
      <b/>
      <sz val="11"/>
      <color theme="0"/>
      <name val="Calibri"/>
      <family val="2"/>
      <scheme val="minor"/>
    </font>
    <font>
      <b/>
      <sz val="11"/>
      <color theme="1"/>
      <name val="Calibri"/>
      <family val="2"/>
      <scheme val="minor"/>
    </font>
    <font>
      <b/>
      <sz val="11"/>
      <color theme="0"/>
      <name val="Calibri"/>
      <family val="2"/>
    </font>
    <font>
      <b/>
      <i/>
      <sz val="11"/>
      <color theme="8" tint="-0.249977111117893"/>
      <name val="Calibri"/>
      <family val="2"/>
      <scheme val="minor"/>
    </font>
    <font>
      <b/>
      <sz val="11"/>
      <color theme="8" tint="-0.249977111117893"/>
      <name val="Calibri"/>
      <family val="2"/>
      <scheme val="minor"/>
    </font>
    <font>
      <b/>
      <sz val="14"/>
      <color theme="0"/>
      <name val="Calibri"/>
      <family val="2"/>
      <scheme val="minor"/>
    </font>
    <font>
      <b/>
      <sz val="16"/>
      <color theme="8" tint="-0.249977111117893"/>
      <name val="Bauhaus 93"/>
      <family val="5"/>
    </font>
  </fonts>
  <fills count="7">
    <fill>
      <patternFill patternType="none"/>
    </fill>
    <fill>
      <patternFill patternType="gray125"/>
    </fill>
    <fill>
      <patternFill patternType="solid">
        <fgColor theme="8" tint="0.59999389629810485"/>
        <bgColor indexed="64"/>
      </patternFill>
    </fill>
    <fill>
      <patternFill patternType="solid">
        <fgColor theme="8"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rgb="FF31869B"/>
        <bgColor indexed="64"/>
      </patternFill>
    </fill>
  </fills>
  <borders count="12">
    <border>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s>
  <cellStyleXfs count="1">
    <xf numFmtId="0" fontId="0" fillId="0" borderId="0"/>
  </cellStyleXfs>
  <cellXfs count="54">
    <xf numFmtId="0" fontId="0" fillId="0" borderId="0" xfId="0"/>
    <xf numFmtId="0" fontId="0" fillId="0" borderId="0" xfId="0" applyAlignment="1">
      <alignment horizontal="center"/>
    </xf>
    <xf numFmtId="164" fontId="0" fillId="0" borderId="0" xfId="0" applyNumberFormat="1" applyAlignment="1">
      <alignment horizontal="center"/>
    </xf>
    <xf numFmtId="0" fontId="0" fillId="2" borderId="0" xfId="0" applyFill="1"/>
    <xf numFmtId="0" fontId="0" fillId="5" borderId="0" xfId="0" applyFill="1"/>
    <xf numFmtId="0" fontId="3" fillId="3" borderId="0" xfId="0" applyFont="1" applyFill="1" applyAlignment="1">
      <alignment horizontal="center" vertical="center"/>
    </xf>
    <xf numFmtId="164" fontId="3" fillId="3" borderId="0" xfId="0" applyNumberFormat="1"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3" borderId="4" xfId="0" applyFill="1" applyBorder="1"/>
    <xf numFmtId="0" fontId="0" fillId="3" borderId="0" xfId="0" applyFill="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5" fillId="2" borderId="0" xfId="0" applyFont="1" applyFill="1" applyAlignment="1">
      <alignment wrapText="1"/>
    </xf>
    <xf numFmtId="168" fontId="3" fillId="3" borderId="0" xfId="0" applyNumberFormat="1" applyFont="1" applyFill="1" applyAlignment="1">
      <alignment horizontal="center" vertical="center"/>
    </xf>
    <xf numFmtId="168" fontId="0" fillId="0" borderId="0" xfId="0" applyNumberFormat="1" applyAlignment="1">
      <alignment horizontal="center"/>
    </xf>
    <xf numFmtId="0" fontId="2" fillId="5" borderId="0" xfId="0" applyFont="1" applyFill="1"/>
    <xf numFmtId="0" fontId="4" fillId="4" borderId="6" xfId="0" applyFont="1" applyFill="1" applyBorder="1" applyAlignment="1">
      <alignment horizontal="center"/>
    </xf>
    <xf numFmtId="0" fontId="4" fillId="4" borderId="7" xfId="0" applyFont="1" applyFill="1" applyBorder="1" applyAlignment="1">
      <alignment horizontal="center"/>
    </xf>
    <xf numFmtId="0" fontId="0" fillId="3" borderId="1" xfId="0" applyFill="1" applyBorder="1" applyAlignment="1">
      <alignment horizontal="center"/>
    </xf>
    <xf numFmtId="0" fontId="0" fillId="3" borderId="4" xfId="0" applyFill="1" applyBorder="1" applyAlignment="1">
      <alignment horizontal="center"/>
    </xf>
    <xf numFmtId="167" fontId="6" fillId="3" borderId="2" xfId="0" applyNumberFormat="1" applyFont="1" applyFill="1" applyBorder="1" applyAlignment="1">
      <alignment horizontal="center" vertical="center"/>
    </xf>
    <xf numFmtId="167" fontId="6" fillId="3" borderId="3" xfId="0" applyNumberFormat="1" applyFont="1" applyFill="1" applyBorder="1" applyAlignment="1">
      <alignment horizontal="center" vertical="center"/>
    </xf>
    <xf numFmtId="167" fontId="6" fillId="3" borderId="0" xfId="0" applyNumberFormat="1" applyFont="1" applyFill="1" applyAlignment="1">
      <alignment horizontal="center" vertical="center"/>
    </xf>
    <xf numFmtId="167" fontId="6" fillId="3" borderId="5" xfId="0" applyNumberFormat="1" applyFont="1" applyFill="1" applyBorder="1" applyAlignment="1">
      <alignment horizontal="center" vertical="center"/>
    </xf>
    <xf numFmtId="166" fontId="6" fillId="3" borderId="2" xfId="0" applyNumberFormat="1" applyFont="1" applyFill="1" applyBorder="1" applyAlignment="1">
      <alignment horizontal="center" vertical="center"/>
    </xf>
    <xf numFmtId="166" fontId="6" fillId="3" borderId="3" xfId="0" applyNumberFormat="1" applyFont="1" applyFill="1" applyBorder="1" applyAlignment="1">
      <alignment horizontal="center" vertical="center"/>
    </xf>
    <xf numFmtId="166" fontId="6" fillId="3" borderId="0" xfId="0" applyNumberFormat="1" applyFont="1" applyFill="1" applyAlignment="1">
      <alignment horizontal="center" vertical="center"/>
    </xf>
    <xf numFmtId="166" fontId="6" fillId="3" borderId="5" xfId="0" applyNumberFormat="1" applyFont="1" applyFill="1" applyBorder="1" applyAlignment="1">
      <alignment horizontal="center" vertical="center"/>
    </xf>
    <xf numFmtId="0" fontId="4" fillId="4" borderId="8" xfId="0" applyFont="1" applyFill="1" applyBorder="1" applyAlignment="1">
      <alignment horizont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0" xfId="0" applyFont="1" applyFill="1" applyAlignment="1">
      <alignment horizontal="center" vertical="center"/>
    </xf>
    <xf numFmtId="0" fontId="6" fillId="3" borderId="5" xfId="0" applyFont="1" applyFill="1" applyBorder="1" applyAlignment="1">
      <alignment horizontal="center" vertical="center"/>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0" xfId="0" applyFont="1" applyFill="1" applyAlignment="1">
      <alignment horizontal="center" vertical="center"/>
    </xf>
    <xf numFmtId="0" fontId="6" fillId="6" borderId="5" xfId="0" applyFont="1" applyFill="1" applyBorder="1" applyAlignment="1">
      <alignment horizontal="center" vertical="center"/>
    </xf>
    <xf numFmtId="167" fontId="6" fillId="6" borderId="0" xfId="0" applyNumberFormat="1" applyFont="1" applyFill="1" applyAlignment="1">
      <alignment horizontal="center" vertical="center"/>
    </xf>
    <xf numFmtId="167" fontId="6" fillId="6" borderId="5" xfId="0" applyNumberFormat="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0" fillId="3" borderId="0" xfId="0" applyFill="1" applyAlignment="1">
      <alignment horizontal="center"/>
    </xf>
    <xf numFmtId="0" fontId="0" fillId="3" borderId="5" xfId="0" applyFill="1" applyBorder="1" applyAlignment="1">
      <alignment horizontal="center"/>
    </xf>
    <xf numFmtId="165" fontId="6" fillId="3" borderId="0" xfId="0" applyNumberFormat="1" applyFont="1" applyFill="1" applyAlignment="1">
      <alignment horizontal="center" vertical="center"/>
    </xf>
    <xf numFmtId="165" fontId="6" fillId="3" borderId="5" xfId="0" applyNumberFormat="1" applyFont="1" applyFill="1" applyBorder="1" applyAlignment="1">
      <alignment horizontal="center" vertical="center"/>
    </xf>
    <xf numFmtId="0" fontId="0" fillId="0" borderId="0" xfId="0" applyNumberFormat="1"/>
  </cellXfs>
  <cellStyles count="1">
    <cellStyle name="Normal" xfId="0" builtinId="0"/>
  </cellStyles>
  <dxfs count="32">
    <dxf>
      <font>
        <color rgb="FF006100"/>
      </font>
      <fill>
        <patternFill>
          <bgColor rgb="FFC6EFCE"/>
        </patternFill>
      </fill>
    </dxf>
    <dxf>
      <font>
        <color rgb="FF9C0006"/>
      </font>
      <fill>
        <patternFill>
          <bgColor rgb="FFFFC7CE"/>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8" formatCode="[$-F800]dddd\,\ mmmm\ dd\,\ 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8" tint="-0.249977111117893"/>
        </patternFill>
      </fill>
      <alignment horizontal="center" vertical="center" textRotation="0" wrapText="0" indent="0" justifyLastLine="0" shrinkToFit="0" readingOrder="0"/>
    </dxf>
    <dxf>
      <fill>
        <patternFill>
          <bgColor rgb="FF31869B"/>
        </patternFill>
      </fill>
    </dxf>
    <dxf>
      <font>
        <b/>
        <color theme="1"/>
      </font>
      <border>
        <bottom style="thin">
          <color theme="8"/>
        </bottom>
        <vertical/>
        <horizontal/>
      </border>
    </dxf>
    <dxf>
      <font>
        <color theme="1"/>
      </font>
      <fill>
        <patternFill>
          <fgColor rgb="FF31869B"/>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fgColor rgb="FF31869B"/>
        </patternFill>
      </fill>
      <border>
        <left style="thin">
          <color theme="8"/>
        </left>
        <right style="thin">
          <color theme="8"/>
        </right>
        <top style="thin">
          <color theme="8"/>
        </top>
        <bottom style="thin">
          <color theme="8"/>
        </bottom>
        <vertical/>
        <horizontal/>
      </border>
    </dxf>
    <dxf>
      <fill>
        <patternFill patternType="gray125">
          <fgColor rgb="FF31869B"/>
          <bgColor auto="1"/>
        </patternFill>
      </fill>
    </dxf>
  </dxfs>
  <tableStyles count="4" defaultTableStyle="TableStyleMedium9" defaultPivotStyle="PivotStyleLight16">
    <tableStyle name="Slicer Style 1" pivot="0" table="0" count="1" xr9:uid="{0687A5CC-45FD-4077-BF1D-0A6147B3FD87}">
      <tableStyleElement type="wholeTable" dxfId="31"/>
    </tableStyle>
    <tableStyle name="SlicerStyleDark5 2" pivot="0" table="0" count="10" xr9:uid="{969BA590-6B57-473E-A53E-99C2ACE54715}">
      <tableStyleElement type="wholeTable" dxfId="30"/>
      <tableStyleElement type="headerRow" dxfId="29"/>
    </tableStyle>
    <tableStyle name="SlicerStyleDark5 2 2" pivot="0" table="0" count="10" xr9:uid="{4C993EAB-E849-44F0-B04A-6B6102D9A0CC}">
      <tableStyleElement type="wholeTable" dxfId="28"/>
      <tableStyleElement type="headerRow" dxfId="27"/>
    </tableStyle>
    <tableStyle name="teal_blue" pivot="0" table="0" count="1" xr9:uid="{8272622A-390B-46E0-B58F-5AEC286EF3B9}">
      <tableStyleElement type="wholeTable" dxfId="26"/>
    </tableStyle>
  </tableStyles>
  <colors>
    <mruColors>
      <color rgb="FF31869B"/>
      <color rgb="FF9B4631"/>
      <color rgb="FFDCC83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31869B"/>
              <bgColor rgb="FF31869B"/>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teal_blue">
        <x14:slicerStyle name="Slicer Style 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teal_blu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[trading_tracker_template.xlsx]Helper_Data!Pnl</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Daily</a:t>
            </a:r>
            <a:r>
              <a:rPr lang="en-US" sz="1200" baseline="0">
                <a:solidFill>
                  <a:schemeClr val="bg1"/>
                </a:solidFill>
              </a:rPr>
              <a:t> PnL Trend</a:t>
            </a:r>
            <a:endParaRPr lang="en-US" sz="1200">
              <a:solidFill>
                <a:schemeClr val="bg1"/>
              </a:solidFill>
            </a:endParaRPr>
          </a:p>
        </c:rich>
      </c:tx>
      <c:overlay val="0"/>
      <c:spPr>
        <a:solidFill>
          <a:srgbClr val="31869B"/>
        </a:solid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31869B">
                <a:alpha val="85000"/>
              </a:srgbClr>
            </a:solidFill>
            <a:round/>
          </a:ln>
          <a:effectLst/>
        </c:spPr>
        <c:marker>
          <c:symbol val="circle"/>
          <c:size val="5"/>
          <c:spPr>
            <a:solidFill>
              <a:srgbClr val="31869B"/>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s>
    <c:plotArea>
      <c:layout/>
      <c:lineChart>
        <c:grouping val="standard"/>
        <c:varyColors val="0"/>
        <c:ser>
          <c:idx val="0"/>
          <c:order val="0"/>
          <c:tx>
            <c:strRef>
              <c:f>Helper_Data!$A$1</c:f>
              <c:strCache>
                <c:ptCount val="1"/>
                <c:pt idx="0">
                  <c:v>Total</c:v>
                </c:pt>
              </c:strCache>
            </c:strRef>
          </c:tx>
          <c:spPr>
            <a:ln w="19050" cap="rnd">
              <a:solidFill>
                <a:srgbClr val="31869B">
                  <a:alpha val="85000"/>
                </a:srgbClr>
              </a:solidFill>
              <a:round/>
            </a:ln>
            <a:effectLst/>
          </c:spPr>
          <c:marker>
            <c:symbol val="circle"/>
            <c:size val="5"/>
            <c:spPr>
              <a:solidFill>
                <a:srgbClr val="31869B"/>
              </a:solidFill>
              <a:ln w="9525">
                <a:noFill/>
              </a:ln>
              <a:effectLst/>
            </c:spPr>
          </c:marker>
          <c:trendline>
            <c:spPr>
              <a:ln w="19050" cap="rnd">
                <a:solidFill>
                  <a:schemeClr val="accent1"/>
                </a:solidFill>
                <a:prstDash val="sysDot"/>
              </a:ln>
              <a:effectLst/>
            </c:spPr>
            <c:trendlineType val="linear"/>
            <c:dispRSqr val="0"/>
            <c:dispEq val="0"/>
          </c:trendline>
          <c:cat>
            <c:strRef>
              <c:f>Helper_Data!$A$2</c:f>
              <c:strCache>
                <c:ptCount val="1"/>
                <c:pt idx="0">
                  <c:v>Total</c:v>
                </c:pt>
              </c:strCache>
            </c:strRef>
          </c:cat>
          <c:val>
            <c:numRef>
              <c:f>Helper_Data!$A$2</c:f>
              <c:numCache>
                <c:formatCode>_-[$$-409]* #,##0.00_ ;_-[$$-409]* \-#,##0.00\ ;_-[$$-409]* "-"??_ ;_-@_ </c:formatCode>
                <c:ptCount val="1"/>
              </c:numCache>
            </c:numRef>
          </c:val>
          <c:smooth val="0"/>
          <c:extLst>
            <c:ext xmlns:c16="http://schemas.microsoft.com/office/drawing/2014/chart" uri="{C3380CC4-5D6E-409C-BE32-E72D297353CC}">
              <c16:uniqueId val="{00000000-0D8C-4178-B169-F186F5E67755}"/>
            </c:ext>
          </c:extLst>
        </c:ser>
        <c:dLbls>
          <c:showLegendKey val="0"/>
          <c:showVal val="0"/>
          <c:showCatName val="0"/>
          <c:showSerName val="0"/>
          <c:showPercent val="0"/>
          <c:showBubbleSize val="0"/>
        </c:dLbls>
        <c:marker val="1"/>
        <c:smooth val="0"/>
        <c:axId val="1346072864"/>
        <c:axId val="1346069024"/>
      </c:lineChart>
      <c:catAx>
        <c:axId val="13460728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69024"/>
        <c:crosses val="autoZero"/>
        <c:auto val="1"/>
        <c:lblAlgn val="ctr"/>
        <c:lblOffset val="100"/>
        <c:noMultiLvlLbl val="0"/>
      </c:catAx>
      <c:valAx>
        <c:axId val="134606902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7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[trading_tracker_template.xlsx]Helper_Data!Win/Loss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rPr>
              <a:t>Trade</a:t>
            </a:r>
            <a:r>
              <a:rPr lang="en-US" sz="1200" baseline="0">
                <a:solidFill>
                  <a:schemeClr val="bg1"/>
                </a:solidFill>
              </a:rPr>
              <a:t> Outcomes</a:t>
            </a:r>
            <a:endParaRPr lang="en-US" sz="1200">
              <a:solidFill>
                <a:schemeClr val="bg1"/>
              </a:solidFill>
            </a:endParaRPr>
          </a:p>
        </c:rich>
      </c:tx>
      <c:overlay val="0"/>
      <c:spPr>
        <a:solidFill>
          <a:srgbClr val="31869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B4631"/>
          </a:solidFill>
          <a:ln w="19050">
            <a:solidFill>
              <a:schemeClr val="lt1"/>
            </a:solidFill>
          </a:ln>
          <a:effectLst/>
        </c:spPr>
      </c:pivotFmt>
      <c:pivotFmt>
        <c:idx val="2"/>
        <c:spPr>
          <a:solidFill>
            <a:srgbClr val="31869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31869B"/>
          </a:solidFill>
          <a:ln w="19050">
            <a:solidFill>
              <a:schemeClr val="lt1"/>
            </a:solidFill>
          </a:ln>
          <a:effectLst/>
        </c:spPr>
        <c:dLbl>
          <c:idx val="0"/>
          <c:layout>
            <c:manualLayout>
              <c:x val="0.13636363636363635"/>
              <c:y val="3.94736842105263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9B4631"/>
          </a:solidFill>
          <a:ln w="19050">
            <a:solidFill>
              <a:schemeClr val="lt1"/>
            </a:solidFill>
          </a:ln>
          <a:effectLst/>
        </c:spPr>
        <c:dLbl>
          <c:idx val="0"/>
          <c:layout>
            <c:manualLayout>
              <c:x val="-6.5656565656565663E-2"/>
              <c:y val="-0.144736842105263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Helper_Data!$E$2</c:f>
              <c:strCache>
                <c:ptCount val="1"/>
                <c:pt idx="0">
                  <c:v>Total</c:v>
                </c:pt>
              </c:strCache>
            </c:strRef>
          </c:tx>
          <c:spPr>
            <a:solidFill>
              <a:srgbClr val="31869B"/>
            </a:solidFill>
          </c:spPr>
          <c:dPt>
            <c:idx val="0"/>
            <c:bubble3D val="0"/>
            <c:spPr>
              <a:solidFill>
                <a:srgbClr val="31869B"/>
              </a:solidFill>
              <a:ln w="19050">
                <a:solidFill>
                  <a:schemeClr val="lt1"/>
                </a:solidFill>
              </a:ln>
              <a:effectLst/>
            </c:spPr>
            <c:extLst>
              <c:ext xmlns:c16="http://schemas.microsoft.com/office/drawing/2014/chart" uri="{C3380CC4-5D6E-409C-BE32-E72D297353CC}">
                <c16:uniqueId val="{00000001-DC44-45EA-8B03-AD7A7DD7527D}"/>
              </c:ext>
            </c:extLst>
          </c:dPt>
          <c:dPt>
            <c:idx val="1"/>
            <c:bubble3D val="0"/>
            <c:spPr>
              <a:solidFill>
                <a:srgbClr val="31869B"/>
              </a:solidFill>
              <a:ln w="19050">
                <a:solidFill>
                  <a:schemeClr val="lt1"/>
                </a:solidFill>
              </a:ln>
              <a:effectLst/>
            </c:spPr>
            <c:extLst>
              <c:ext xmlns:c16="http://schemas.microsoft.com/office/drawing/2014/chart" uri="{C3380CC4-5D6E-409C-BE32-E72D297353CC}">
                <c16:uniqueId val="{00000003-DC44-45EA-8B03-AD7A7DD752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Helper_Data!$D$3:$D$4</c:f>
              <c:strCache>
                <c:ptCount val="1"/>
              </c:strCache>
            </c:strRef>
          </c:cat>
          <c:val>
            <c:numRef>
              <c:f>Helper_Data!$E$3:$E$4</c:f>
              <c:numCache>
                <c:formatCode>General</c:formatCode>
                <c:ptCount val="1"/>
                <c:pt idx="0">
                  <c:v>1</c:v>
                </c:pt>
              </c:numCache>
            </c:numRef>
          </c:val>
          <c:extLst>
            <c:ext xmlns:c16="http://schemas.microsoft.com/office/drawing/2014/chart" uri="{C3380CC4-5D6E-409C-BE32-E72D297353CC}">
              <c16:uniqueId val="{00000004-DC44-45EA-8B03-AD7A7DD7527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[trading_tracker_template.xlsx]Helper_Data!Strategy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bg1"/>
                </a:solidFill>
              </a:rPr>
              <a:t>Top</a:t>
            </a:r>
            <a:r>
              <a:rPr lang="en-IN" sz="1200" baseline="0">
                <a:solidFill>
                  <a:schemeClr val="bg1"/>
                </a:solidFill>
              </a:rPr>
              <a:t> 3 Strategies</a:t>
            </a:r>
            <a:endParaRPr lang="en-IN" sz="1200">
              <a:solidFill>
                <a:schemeClr val="bg1"/>
              </a:solidFill>
            </a:endParaRPr>
          </a:p>
        </c:rich>
      </c:tx>
      <c:overlay val="0"/>
      <c:spPr>
        <a:solidFill>
          <a:srgbClr val="31869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1869B"/>
          </a:solidFill>
          <a:ln>
            <a:noFill/>
          </a:ln>
          <a:effectLst/>
        </c:spPr>
        <c:marker>
          <c:symbol val="none"/>
        </c:marker>
        <c:dLbl>
          <c:idx val="0"/>
          <c:numFmt formatCode="[$$-409]#,##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s>
    <c:plotArea>
      <c:layout/>
      <c:barChart>
        <c:barDir val="col"/>
        <c:grouping val="clustered"/>
        <c:varyColors val="0"/>
        <c:ser>
          <c:idx val="0"/>
          <c:order val="0"/>
          <c:tx>
            <c:strRef>
              <c:f>Helper_Data!$H$2</c:f>
              <c:strCache>
                <c:ptCount val="1"/>
                <c:pt idx="0">
                  <c:v>Total</c:v>
                </c:pt>
              </c:strCache>
            </c:strRef>
          </c:tx>
          <c:spPr>
            <a:solidFill>
              <a:srgbClr val="31869B"/>
            </a:solidFill>
            <a:ln>
              <a:noFill/>
            </a:ln>
            <a:effectLst/>
          </c:spPr>
          <c:invertIfNegative val="0"/>
          <c:dLbls>
            <c:numFmt formatCode="[$$-409]#,##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Helper_Data!$G$3:$G$4</c:f>
              <c:strCache>
                <c:ptCount val="1"/>
                <c:pt idx="0">
                  <c:v>(blank)</c:v>
                </c:pt>
              </c:strCache>
            </c:strRef>
          </c:cat>
          <c:val>
            <c:numRef>
              <c:f>Helper_Data!$H$3:$H$4</c:f>
              <c:numCache>
                <c:formatCode>_-[$$-409]* #,##0.00_ ;_-[$$-409]* \-#,##0.00\ ;_-[$$-409]* "-"??_ ;_-@_ </c:formatCode>
                <c:ptCount val="1"/>
              </c:numCache>
            </c:numRef>
          </c:val>
          <c:extLst>
            <c:ext xmlns:c16="http://schemas.microsoft.com/office/drawing/2014/chart" uri="{C3380CC4-5D6E-409C-BE32-E72D297353CC}">
              <c16:uniqueId val="{00000000-7F83-4DDA-8460-53B82567067E}"/>
            </c:ext>
          </c:extLst>
        </c:ser>
        <c:dLbls>
          <c:showLegendKey val="0"/>
          <c:showVal val="0"/>
          <c:showCatName val="0"/>
          <c:showSerName val="0"/>
          <c:showPercent val="0"/>
          <c:showBubbleSize val="0"/>
        </c:dLbls>
        <c:gapWidth val="219"/>
        <c:overlap val="-27"/>
        <c:axId val="1346072384"/>
        <c:axId val="1346073824"/>
      </c:barChart>
      <c:catAx>
        <c:axId val="13460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073824"/>
        <c:crosses val="autoZero"/>
        <c:auto val="1"/>
        <c:lblAlgn val="ctr"/>
        <c:lblOffset val="100"/>
        <c:noMultiLvlLbl val="0"/>
      </c:catAx>
      <c:valAx>
        <c:axId val="1346073824"/>
        <c:scaling>
          <c:orientation val="minMax"/>
        </c:scaling>
        <c:delete val="1"/>
        <c:axPos val="l"/>
        <c:numFmt formatCode="_-[$$-409]* #,##0.00_ ;_-[$$-409]* \-#,##0.00\ ;_-[$$-409]* &quot;-&quot;??_ ;_-@_ " sourceLinked="1"/>
        <c:majorTickMark val="none"/>
        <c:minorTickMark val="none"/>
        <c:tickLblPos val="nextTo"/>
        <c:crossAx val="134607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16</xdr:col>
      <xdr:colOff>248493</xdr:colOff>
      <xdr:row>5</xdr:row>
      <xdr:rowOff>52575</xdr:rowOff>
    </xdr:from>
    <xdr:to>
      <xdr:col>16</xdr:col>
      <xdr:colOff>536493</xdr:colOff>
      <xdr:row>6</xdr:row>
      <xdr:rowOff>157309</xdr:rowOff>
    </xdr:to>
    <xdr:grpSp>
      <xdr:nvGrpSpPr>
        <xdr:cNvPr id="9" name="Group 8">
          <a:extLst>
            <a:ext uri="{FF2B5EF4-FFF2-40B4-BE49-F238E27FC236}">
              <a16:creationId xmlns:a16="http://schemas.microsoft.com/office/drawing/2014/main" id="{EBC5747C-7AD0-3B02-EC83-3918D821A0A9}"/>
            </a:ext>
          </a:extLst>
        </xdr:cNvPr>
        <xdr:cNvGrpSpPr/>
      </xdr:nvGrpSpPr>
      <xdr:grpSpPr>
        <a:xfrm>
          <a:off x="9595050" y="1200398"/>
          <a:ext cx="288000" cy="288000"/>
          <a:chOff x="6129282" y="418663"/>
          <a:chExt cx="429173" cy="325821"/>
        </a:xfrm>
      </xdr:grpSpPr>
      <xdr:sp macro="" textlink="">
        <xdr:nvSpPr>
          <xdr:cNvPr id="4" name="Oval 3">
            <a:extLst>
              <a:ext uri="{FF2B5EF4-FFF2-40B4-BE49-F238E27FC236}">
                <a16:creationId xmlns:a16="http://schemas.microsoft.com/office/drawing/2014/main" id="{0045A408-E267-4088-967F-020CC68C6E94}"/>
              </a:ext>
            </a:extLst>
          </xdr:cNvPr>
          <xdr:cNvSpPr/>
        </xdr:nvSpPr>
        <xdr:spPr>
          <a:xfrm>
            <a:off x="6129282" y="418663"/>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8" name="Graphic 7" descr="Dollar with solid fill">
            <a:extLst>
              <a:ext uri="{FF2B5EF4-FFF2-40B4-BE49-F238E27FC236}">
                <a16:creationId xmlns:a16="http://schemas.microsoft.com/office/drawing/2014/main" id="{6F64C51A-E312-F191-DDE7-19823FA21E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83585" y="420414"/>
            <a:ext cx="324070" cy="324070"/>
          </a:xfrm>
          <a:prstGeom prst="rect">
            <a:avLst/>
          </a:prstGeom>
        </xdr:spPr>
      </xdr:pic>
    </xdr:grpSp>
    <xdr:clientData/>
  </xdr:twoCellAnchor>
  <xdr:twoCellAnchor>
    <xdr:from>
      <xdr:col>1</xdr:col>
      <xdr:colOff>395025</xdr:colOff>
      <xdr:row>1</xdr:row>
      <xdr:rowOff>40163</xdr:rowOff>
    </xdr:from>
    <xdr:to>
      <xdr:col>2</xdr:col>
      <xdr:colOff>75354</xdr:colOff>
      <xdr:row>2</xdr:row>
      <xdr:rowOff>135252</xdr:rowOff>
    </xdr:to>
    <xdr:grpSp>
      <xdr:nvGrpSpPr>
        <xdr:cNvPr id="12" name="Group 11">
          <a:extLst>
            <a:ext uri="{FF2B5EF4-FFF2-40B4-BE49-F238E27FC236}">
              <a16:creationId xmlns:a16="http://schemas.microsoft.com/office/drawing/2014/main" id="{6E6C7E44-FFA1-E301-7ACD-ECB35639E8ED}"/>
            </a:ext>
          </a:extLst>
        </xdr:cNvPr>
        <xdr:cNvGrpSpPr/>
      </xdr:nvGrpSpPr>
      <xdr:grpSpPr>
        <a:xfrm>
          <a:off x="626519" y="425986"/>
          <a:ext cx="288000" cy="288000"/>
          <a:chOff x="613103" y="377758"/>
          <a:chExt cx="429173" cy="361468"/>
        </a:xfrm>
      </xdr:grpSpPr>
      <xdr:sp macro="" textlink="">
        <xdr:nvSpPr>
          <xdr:cNvPr id="2" name="Oval 1">
            <a:extLst>
              <a:ext uri="{FF2B5EF4-FFF2-40B4-BE49-F238E27FC236}">
                <a16:creationId xmlns:a16="http://schemas.microsoft.com/office/drawing/2014/main" id="{1DB486AE-8F60-55CE-4F81-2CE171CC7F71}"/>
              </a:ext>
            </a:extLst>
          </xdr:cNvPr>
          <xdr:cNvSpPr/>
        </xdr:nvSpPr>
        <xdr:spPr>
          <a:xfrm>
            <a:off x="613103" y="411656"/>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11" name="Graphic 10" descr="Upward trend with solid fill">
            <a:extLst>
              <a:ext uri="{FF2B5EF4-FFF2-40B4-BE49-F238E27FC236}">
                <a16:creationId xmlns:a16="http://schemas.microsoft.com/office/drawing/2014/main" id="{2FFCF923-1B55-7273-B507-B53976B1CC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5655" y="377758"/>
            <a:ext cx="353848" cy="361468"/>
          </a:xfrm>
          <a:prstGeom prst="rect">
            <a:avLst/>
          </a:prstGeom>
        </xdr:spPr>
      </xdr:pic>
    </xdr:grpSp>
    <xdr:clientData/>
  </xdr:twoCellAnchor>
  <xdr:twoCellAnchor>
    <xdr:from>
      <xdr:col>7</xdr:col>
      <xdr:colOff>400827</xdr:colOff>
      <xdr:row>1</xdr:row>
      <xdr:rowOff>28385</xdr:rowOff>
    </xdr:from>
    <xdr:to>
      <xdr:col>8</xdr:col>
      <xdr:colOff>81156</xdr:colOff>
      <xdr:row>2</xdr:row>
      <xdr:rowOff>123474</xdr:rowOff>
    </xdr:to>
    <xdr:grpSp>
      <xdr:nvGrpSpPr>
        <xdr:cNvPr id="15" name="Group 14">
          <a:extLst>
            <a:ext uri="{FF2B5EF4-FFF2-40B4-BE49-F238E27FC236}">
              <a16:creationId xmlns:a16="http://schemas.microsoft.com/office/drawing/2014/main" id="{EC559B99-CA8C-C1BE-58E3-36C8438F6744}"/>
            </a:ext>
          </a:extLst>
        </xdr:cNvPr>
        <xdr:cNvGrpSpPr/>
      </xdr:nvGrpSpPr>
      <xdr:grpSpPr>
        <a:xfrm>
          <a:off x="4278346" y="414208"/>
          <a:ext cx="288000" cy="288000"/>
          <a:chOff x="4293475" y="388879"/>
          <a:chExt cx="429173" cy="367864"/>
        </a:xfrm>
      </xdr:grpSpPr>
      <xdr:sp macro="" textlink="">
        <xdr:nvSpPr>
          <xdr:cNvPr id="5" name="Oval 4">
            <a:extLst>
              <a:ext uri="{FF2B5EF4-FFF2-40B4-BE49-F238E27FC236}">
                <a16:creationId xmlns:a16="http://schemas.microsoft.com/office/drawing/2014/main" id="{725A1D40-D38D-4EAA-9B06-BCA7AA6C2EC3}"/>
              </a:ext>
            </a:extLst>
          </xdr:cNvPr>
          <xdr:cNvSpPr/>
        </xdr:nvSpPr>
        <xdr:spPr>
          <a:xfrm>
            <a:off x="4293475" y="413407"/>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14" name="Graphic 13" descr="Bullseye with solid fill">
            <a:extLst>
              <a:ext uri="{FF2B5EF4-FFF2-40B4-BE49-F238E27FC236}">
                <a16:creationId xmlns:a16="http://schemas.microsoft.com/office/drawing/2014/main" id="{E922AFE5-C752-7C97-39C0-2EAB0961102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35515" y="388879"/>
            <a:ext cx="367864" cy="367864"/>
          </a:xfrm>
          <a:prstGeom prst="rect">
            <a:avLst/>
          </a:prstGeom>
        </xdr:spPr>
      </xdr:pic>
    </xdr:grpSp>
    <xdr:clientData/>
  </xdr:twoCellAnchor>
  <xdr:twoCellAnchor>
    <xdr:from>
      <xdr:col>4</xdr:col>
      <xdr:colOff>386081</xdr:colOff>
      <xdr:row>1</xdr:row>
      <xdr:rowOff>10861</xdr:rowOff>
    </xdr:from>
    <xdr:to>
      <xdr:col>5</xdr:col>
      <xdr:colOff>66410</xdr:colOff>
      <xdr:row>2</xdr:row>
      <xdr:rowOff>105950</xdr:rowOff>
    </xdr:to>
    <xdr:grpSp>
      <xdr:nvGrpSpPr>
        <xdr:cNvPr id="20" name="Group 19">
          <a:extLst>
            <a:ext uri="{FF2B5EF4-FFF2-40B4-BE49-F238E27FC236}">
              <a16:creationId xmlns:a16="http://schemas.microsoft.com/office/drawing/2014/main" id="{59BE918A-E3DE-8543-7189-864A45D2D7A2}"/>
            </a:ext>
          </a:extLst>
        </xdr:cNvPr>
        <xdr:cNvGrpSpPr/>
      </xdr:nvGrpSpPr>
      <xdr:grpSpPr>
        <a:xfrm>
          <a:off x="2440587" y="396684"/>
          <a:ext cx="288000" cy="288000"/>
          <a:chOff x="2422635" y="376621"/>
          <a:chExt cx="429173" cy="353847"/>
        </a:xfrm>
      </xdr:grpSpPr>
      <xdr:sp macro="" textlink="">
        <xdr:nvSpPr>
          <xdr:cNvPr id="6" name="Oval 5">
            <a:extLst>
              <a:ext uri="{FF2B5EF4-FFF2-40B4-BE49-F238E27FC236}">
                <a16:creationId xmlns:a16="http://schemas.microsoft.com/office/drawing/2014/main" id="{CA671389-BC9B-436B-A0A8-B7E98D2800E9}"/>
              </a:ext>
            </a:extLst>
          </xdr:cNvPr>
          <xdr:cNvSpPr/>
        </xdr:nvSpPr>
        <xdr:spPr>
          <a:xfrm>
            <a:off x="2422635" y="408153"/>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19" name="Graphic 18" descr="Money with solid fill">
            <a:extLst>
              <a:ext uri="{FF2B5EF4-FFF2-40B4-BE49-F238E27FC236}">
                <a16:creationId xmlns:a16="http://schemas.microsoft.com/office/drawing/2014/main" id="{58AA7453-47FB-8702-989C-1DE2EF5832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78690" y="376621"/>
            <a:ext cx="353847" cy="353847"/>
          </a:xfrm>
          <a:prstGeom prst="rect">
            <a:avLst/>
          </a:prstGeom>
        </xdr:spPr>
      </xdr:pic>
    </xdr:grpSp>
    <xdr:clientData/>
  </xdr:twoCellAnchor>
  <xdr:twoCellAnchor>
    <xdr:from>
      <xdr:col>16</xdr:col>
      <xdr:colOff>257645</xdr:colOff>
      <xdr:row>1</xdr:row>
      <xdr:rowOff>26142</xdr:rowOff>
    </xdr:from>
    <xdr:to>
      <xdr:col>16</xdr:col>
      <xdr:colOff>545645</xdr:colOff>
      <xdr:row>2</xdr:row>
      <xdr:rowOff>121231</xdr:rowOff>
    </xdr:to>
    <xdr:grpSp>
      <xdr:nvGrpSpPr>
        <xdr:cNvPr id="23" name="Group 22">
          <a:extLst>
            <a:ext uri="{FF2B5EF4-FFF2-40B4-BE49-F238E27FC236}">
              <a16:creationId xmlns:a16="http://schemas.microsoft.com/office/drawing/2014/main" id="{7EA3AE48-9D7D-5999-CCDF-D376E7949D94}"/>
            </a:ext>
          </a:extLst>
        </xdr:cNvPr>
        <xdr:cNvGrpSpPr/>
      </xdr:nvGrpSpPr>
      <xdr:grpSpPr>
        <a:xfrm>
          <a:off x="9604202" y="411965"/>
          <a:ext cx="288000" cy="288000"/>
          <a:chOff x="8000123" y="385381"/>
          <a:chExt cx="429173" cy="371364"/>
        </a:xfrm>
      </xdr:grpSpPr>
      <xdr:sp macro="" textlink="">
        <xdr:nvSpPr>
          <xdr:cNvPr id="3" name="Oval 2">
            <a:extLst>
              <a:ext uri="{FF2B5EF4-FFF2-40B4-BE49-F238E27FC236}">
                <a16:creationId xmlns:a16="http://schemas.microsoft.com/office/drawing/2014/main" id="{D456313C-D038-48B4-8EDC-C91EEEA8C664}"/>
              </a:ext>
            </a:extLst>
          </xdr:cNvPr>
          <xdr:cNvSpPr/>
        </xdr:nvSpPr>
        <xdr:spPr>
          <a:xfrm>
            <a:off x="8000123" y="415160"/>
            <a:ext cx="429173" cy="306552"/>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22" name="Graphic 21" descr="Coins with solid fill">
            <a:extLst>
              <a:ext uri="{FF2B5EF4-FFF2-40B4-BE49-F238E27FC236}">
                <a16:creationId xmlns:a16="http://schemas.microsoft.com/office/drawing/2014/main" id="{0C951FF8-7CE8-0AC6-49D2-562050907A1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31657" y="385381"/>
            <a:ext cx="371364" cy="371364"/>
          </a:xfrm>
          <a:prstGeom prst="rect">
            <a:avLst/>
          </a:prstGeom>
        </xdr:spPr>
      </xdr:pic>
    </xdr:grpSp>
    <xdr:clientData/>
  </xdr:twoCellAnchor>
  <xdr:twoCellAnchor>
    <xdr:from>
      <xdr:col>8</xdr:col>
      <xdr:colOff>60960</xdr:colOff>
      <xdr:row>0</xdr:row>
      <xdr:rowOff>38100</xdr:rowOff>
    </xdr:from>
    <xdr:to>
      <xdr:col>9</xdr:col>
      <xdr:colOff>68580</xdr:colOff>
      <xdr:row>0</xdr:row>
      <xdr:rowOff>350520</xdr:rowOff>
    </xdr:to>
    <xdr:sp macro="" textlink="">
      <xdr:nvSpPr>
        <xdr:cNvPr id="40" name="Oval 39">
          <a:extLst>
            <a:ext uri="{FF2B5EF4-FFF2-40B4-BE49-F238E27FC236}">
              <a16:creationId xmlns:a16="http://schemas.microsoft.com/office/drawing/2014/main" id="{50E73F28-86C5-222A-3A7D-C92B74F527B3}"/>
            </a:ext>
          </a:extLst>
        </xdr:cNvPr>
        <xdr:cNvSpPr/>
      </xdr:nvSpPr>
      <xdr:spPr>
        <a:xfrm>
          <a:off x="4556760" y="38100"/>
          <a:ext cx="617220" cy="312420"/>
        </a:xfrm>
        <a:prstGeom prst="ellipse">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200">
              <a:solidFill>
                <a:srgbClr val="9B4631"/>
              </a:solidFill>
              <a:latin typeface="Blackadder ITC" panose="04020505051007020D02" pitchFamily="82" charset="0"/>
            </a:rPr>
            <a:t>VP</a:t>
          </a:r>
        </a:p>
      </xdr:txBody>
    </xdr:sp>
    <xdr:clientData/>
  </xdr:twoCellAnchor>
  <xdr:twoCellAnchor>
    <xdr:from>
      <xdr:col>1</xdr:col>
      <xdr:colOff>360165</xdr:colOff>
      <xdr:row>5</xdr:row>
      <xdr:rowOff>34531</xdr:rowOff>
    </xdr:from>
    <xdr:to>
      <xdr:col>2</xdr:col>
      <xdr:colOff>40494</xdr:colOff>
      <xdr:row>6</xdr:row>
      <xdr:rowOff>139265</xdr:rowOff>
    </xdr:to>
    <xdr:grpSp>
      <xdr:nvGrpSpPr>
        <xdr:cNvPr id="53" name="Group 52">
          <a:extLst>
            <a:ext uri="{FF2B5EF4-FFF2-40B4-BE49-F238E27FC236}">
              <a16:creationId xmlns:a16="http://schemas.microsoft.com/office/drawing/2014/main" id="{3D4ACA1A-B963-8E8B-DB60-C88FE1CCFFFE}"/>
            </a:ext>
          </a:extLst>
        </xdr:cNvPr>
        <xdr:cNvGrpSpPr/>
      </xdr:nvGrpSpPr>
      <xdr:grpSpPr>
        <a:xfrm>
          <a:off x="591659" y="1182354"/>
          <a:ext cx="288000" cy="288000"/>
          <a:chOff x="2461260" y="388620"/>
          <a:chExt cx="425670" cy="350520"/>
        </a:xfrm>
      </xdr:grpSpPr>
      <xdr:sp macro="" textlink="">
        <xdr:nvSpPr>
          <xdr:cNvPr id="49" name="Oval 48">
            <a:extLst>
              <a:ext uri="{FF2B5EF4-FFF2-40B4-BE49-F238E27FC236}">
                <a16:creationId xmlns:a16="http://schemas.microsoft.com/office/drawing/2014/main" id="{2FACE3FD-52D0-B337-892B-B54B509B9D04}"/>
              </a:ext>
            </a:extLst>
          </xdr:cNvPr>
          <xdr:cNvSpPr/>
        </xdr:nvSpPr>
        <xdr:spPr>
          <a:xfrm>
            <a:off x="2461260" y="410610"/>
            <a:ext cx="425670" cy="304817"/>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52" name="Graphic 51" descr="Daily calendar with solid fill">
            <a:extLst>
              <a:ext uri="{FF2B5EF4-FFF2-40B4-BE49-F238E27FC236}">
                <a16:creationId xmlns:a16="http://schemas.microsoft.com/office/drawing/2014/main" id="{A8B7F8EE-B646-6CE8-1604-C72C4CE20E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06980" y="388620"/>
            <a:ext cx="350520" cy="350520"/>
          </a:xfrm>
          <a:prstGeom prst="rect">
            <a:avLst/>
          </a:prstGeom>
        </xdr:spPr>
      </xdr:pic>
    </xdr:grpSp>
    <xdr:clientData/>
  </xdr:twoCellAnchor>
  <xdr:twoCellAnchor>
    <xdr:from>
      <xdr:col>10</xdr:col>
      <xdr:colOff>299688</xdr:colOff>
      <xdr:row>5</xdr:row>
      <xdr:rowOff>24886</xdr:rowOff>
    </xdr:from>
    <xdr:to>
      <xdr:col>10</xdr:col>
      <xdr:colOff>587688</xdr:colOff>
      <xdr:row>6</xdr:row>
      <xdr:rowOff>129620</xdr:rowOff>
    </xdr:to>
    <xdr:grpSp>
      <xdr:nvGrpSpPr>
        <xdr:cNvPr id="80" name="Group 79">
          <a:extLst>
            <a:ext uri="{FF2B5EF4-FFF2-40B4-BE49-F238E27FC236}">
              <a16:creationId xmlns:a16="http://schemas.microsoft.com/office/drawing/2014/main" id="{AA311A8F-B261-EED8-DA5B-13CF368898A4}"/>
            </a:ext>
          </a:extLst>
        </xdr:cNvPr>
        <xdr:cNvGrpSpPr/>
      </xdr:nvGrpSpPr>
      <xdr:grpSpPr>
        <a:xfrm>
          <a:off x="6000220" y="1172709"/>
          <a:ext cx="288000" cy="288000"/>
          <a:chOff x="5966460" y="1150620"/>
          <a:chExt cx="425669" cy="358140"/>
        </a:xfrm>
      </xdr:grpSpPr>
      <xdr:sp macro="" textlink="">
        <xdr:nvSpPr>
          <xdr:cNvPr id="60" name="Oval 59">
            <a:extLst>
              <a:ext uri="{FF2B5EF4-FFF2-40B4-BE49-F238E27FC236}">
                <a16:creationId xmlns:a16="http://schemas.microsoft.com/office/drawing/2014/main" id="{39B90585-E634-425E-A75E-9A0A9340CD22}"/>
              </a:ext>
            </a:extLst>
          </xdr:cNvPr>
          <xdr:cNvSpPr/>
        </xdr:nvSpPr>
        <xdr:spPr>
          <a:xfrm>
            <a:off x="5966460" y="117404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63" name="Graphic 62" descr="Crying face outline with solid fill">
            <a:extLst>
              <a:ext uri="{FF2B5EF4-FFF2-40B4-BE49-F238E27FC236}">
                <a16:creationId xmlns:a16="http://schemas.microsoft.com/office/drawing/2014/main" id="{0F8A1072-AAC4-9399-1B17-FDDAA511897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04560" y="1150620"/>
            <a:ext cx="358140" cy="358140"/>
          </a:xfrm>
          <a:prstGeom prst="rect">
            <a:avLst/>
          </a:prstGeom>
        </xdr:spPr>
      </xdr:pic>
    </xdr:grpSp>
    <xdr:clientData/>
  </xdr:twoCellAnchor>
  <xdr:twoCellAnchor>
    <xdr:from>
      <xdr:col>10</xdr:col>
      <xdr:colOff>307790</xdr:colOff>
      <xdr:row>1</xdr:row>
      <xdr:rowOff>40125</xdr:rowOff>
    </xdr:from>
    <xdr:to>
      <xdr:col>10</xdr:col>
      <xdr:colOff>595790</xdr:colOff>
      <xdr:row>2</xdr:row>
      <xdr:rowOff>135214</xdr:rowOff>
    </xdr:to>
    <xdr:grpSp>
      <xdr:nvGrpSpPr>
        <xdr:cNvPr id="83" name="Group 82">
          <a:extLst>
            <a:ext uri="{FF2B5EF4-FFF2-40B4-BE49-F238E27FC236}">
              <a16:creationId xmlns:a16="http://schemas.microsoft.com/office/drawing/2014/main" id="{76FBAF0A-69DD-169F-3616-DD4A6DFC9B2D}"/>
            </a:ext>
          </a:extLst>
        </xdr:cNvPr>
        <xdr:cNvGrpSpPr/>
      </xdr:nvGrpSpPr>
      <xdr:grpSpPr>
        <a:xfrm>
          <a:off x="6008322" y="425948"/>
          <a:ext cx="288000" cy="288000"/>
          <a:chOff x="5935980" y="411480"/>
          <a:chExt cx="425669" cy="358140"/>
        </a:xfrm>
      </xdr:grpSpPr>
      <xdr:sp macro="" textlink="">
        <xdr:nvSpPr>
          <xdr:cNvPr id="59" name="Oval 58">
            <a:extLst>
              <a:ext uri="{FF2B5EF4-FFF2-40B4-BE49-F238E27FC236}">
                <a16:creationId xmlns:a16="http://schemas.microsoft.com/office/drawing/2014/main" id="{21ED6C98-D363-4379-BB9B-D484F707A676}"/>
              </a:ext>
            </a:extLst>
          </xdr:cNvPr>
          <xdr:cNvSpPr/>
        </xdr:nvSpPr>
        <xdr:spPr>
          <a:xfrm>
            <a:off x="5935980" y="412048"/>
            <a:ext cx="425669" cy="30946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69" name="Graphic 68" descr="Angel face with solid fill with solid fill">
            <a:extLst>
              <a:ext uri="{FF2B5EF4-FFF2-40B4-BE49-F238E27FC236}">
                <a16:creationId xmlns:a16="http://schemas.microsoft.com/office/drawing/2014/main" id="{FB09242B-AA20-9353-AD06-E23D5917459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974080" y="411480"/>
            <a:ext cx="358140" cy="358140"/>
          </a:xfrm>
          <a:prstGeom prst="rect">
            <a:avLst/>
          </a:prstGeom>
        </xdr:spPr>
      </xdr:pic>
    </xdr:grpSp>
    <xdr:clientData/>
  </xdr:twoCellAnchor>
  <xdr:twoCellAnchor>
    <xdr:from>
      <xdr:col>13</xdr:col>
      <xdr:colOff>294093</xdr:colOff>
      <xdr:row>1</xdr:row>
      <xdr:rowOff>28937</xdr:rowOff>
    </xdr:from>
    <xdr:to>
      <xdr:col>13</xdr:col>
      <xdr:colOff>582093</xdr:colOff>
      <xdr:row>2</xdr:row>
      <xdr:rowOff>124026</xdr:rowOff>
    </xdr:to>
    <xdr:grpSp>
      <xdr:nvGrpSpPr>
        <xdr:cNvPr id="78" name="Group 77">
          <a:extLst>
            <a:ext uri="{FF2B5EF4-FFF2-40B4-BE49-F238E27FC236}">
              <a16:creationId xmlns:a16="http://schemas.microsoft.com/office/drawing/2014/main" id="{4DF26BBD-0A11-0280-0419-8C49BC7444E9}"/>
            </a:ext>
          </a:extLst>
        </xdr:cNvPr>
        <xdr:cNvGrpSpPr/>
      </xdr:nvGrpSpPr>
      <xdr:grpSpPr>
        <a:xfrm>
          <a:off x="7817637" y="414760"/>
          <a:ext cx="288000" cy="288000"/>
          <a:chOff x="7947660" y="403860"/>
          <a:chExt cx="425669" cy="335280"/>
        </a:xfrm>
      </xdr:grpSpPr>
      <xdr:sp macro="" textlink="">
        <xdr:nvSpPr>
          <xdr:cNvPr id="57" name="Oval 56">
            <a:extLst>
              <a:ext uri="{FF2B5EF4-FFF2-40B4-BE49-F238E27FC236}">
                <a16:creationId xmlns:a16="http://schemas.microsoft.com/office/drawing/2014/main" id="{C3B7C494-C430-480B-A6D2-A640E9DD7F38}"/>
              </a:ext>
            </a:extLst>
          </xdr:cNvPr>
          <xdr:cNvSpPr/>
        </xdr:nvSpPr>
        <xdr:spPr>
          <a:xfrm>
            <a:off x="7947660" y="412048"/>
            <a:ext cx="425669" cy="30946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1" name="Graphic 70" descr="Trophy with solid fill">
            <a:extLst>
              <a:ext uri="{FF2B5EF4-FFF2-40B4-BE49-F238E27FC236}">
                <a16:creationId xmlns:a16="http://schemas.microsoft.com/office/drawing/2014/main" id="{3CBC31D0-2D68-2DA0-1817-C2FF68D5B9F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001000" y="403860"/>
            <a:ext cx="335280" cy="335280"/>
          </a:xfrm>
          <a:prstGeom prst="rect">
            <a:avLst/>
          </a:prstGeom>
        </xdr:spPr>
      </xdr:pic>
    </xdr:grpSp>
    <xdr:clientData/>
  </xdr:twoCellAnchor>
  <xdr:twoCellAnchor>
    <xdr:from>
      <xdr:col>13</xdr:col>
      <xdr:colOff>299688</xdr:colOff>
      <xdr:row>5</xdr:row>
      <xdr:rowOff>34531</xdr:rowOff>
    </xdr:from>
    <xdr:to>
      <xdr:col>13</xdr:col>
      <xdr:colOff>587688</xdr:colOff>
      <xdr:row>6</xdr:row>
      <xdr:rowOff>139265</xdr:rowOff>
    </xdr:to>
    <xdr:grpSp>
      <xdr:nvGrpSpPr>
        <xdr:cNvPr id="79" name="Group 78">
          <a:extLst>
            <a:ext uri="{FF2B5EF4-FFF2-40B4-BE49-F238E27FC236}">
              <a16:creationId xmlns:a16="http://schemas.microsoft.com/office/drawing/2014/main" id="{C3BE6F57-05F3-58DE-3F33-6D4EF78492F0}"/>
            </a:ext>
          </a:extLst>
        </xdr:cNvPr>
        <xdr:cNvGrpSpPr/>
      </xdr:nvGrpSpPr>
      <xdr:grpSpPr>
        <a:xfrm>
          <a:off x="7823232" y="1182354"/>
          <a:ext cx="288000" cy="288000"/>
          <a:chOff x="7947660" y="1143000"/>
          <a:chExt cx="425669" cy="342900"/>
        </a:xfrm>
      </xdr:grpSpPr>
      <xdr:sp macro="" textlink="">
        <xdr:nvSpPr>
          <xdr:cNvPr id="58" name="Oval 57">
            <a:extLst>
              <a:ext uri="{FF2B5EF4-FFF2-40B4-BE49-F238E27FC236}">
                <a16:creationId xmlns:a16="http://schemas.microsoft.com/office/drawing/2014/main" id="{22EECFF5-76B0-4EAE-B047-70C996F08C19}"/>
              </a:ext>
            </a:extLst>
          </xdr:cNvPr>
          <xdr:cNvSpPr/>
        </xdr:nvSpPr>
        <xdr:spPr>
          <a:xfrm>
            <a:off x="7947660" y="116642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3" name="Graphic 72" descr="Sad face outline with solid fill">
            <a:extLst>
              <a:ext uri="{FF2B5EF4-FFF2-40B4-BE49-F238E27FC236}">
                <a16:creationId xmlns:a16="http://schemas.microsoft.com/office/drawing/2014/main" id="{0D698239-3695-6F0C-3B6F-E847CB9B1F9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985760" y="1143000"/>
            <a:ext cx="342900" cy="342900"/>
          </a:xfrm>
          <a:prstGeom prst="rect">
            <a:avLst/>
          </a:prstGeom>
        </xdr:spPr>
      </xdr:pic>
    </xdr:grpSp>
    <xdr:clientData/>
  </xdr:twoCellAnchor>
  <xdr:twoCellAnchor>
    <xdr:from>
      <xdr:col>4</xdr:col>
      <xdr:colOff>403860</xdr:colOff>
      <xdr:row>5</xdr:row>
      <xdr:rowOff>15240</xdr:rowOff>
    </xdr:from>
    <xdr:to>
      <xdr:col>5</xdr:col>
      <xdr:colOff>84189</xdr:colOff>
      <xdr:row>6</xdr:row>
      <xdr:rowOff>119974</xdr:rowOff>
    </xdr:to>
    <xdr:grpSp>
      <xdr:nvGrpSpPr>
        <xdr:cNvPr id="82" name="Group 81">
          <a:extLst>
            <a:ext uri="{FF2B5EF4-FFF2-40B4-BE49-F238E27FC236}">
              <a16:creationId xmlns:a16="http://schemas.microsoft.com/office/drawing/2014/main" id="{4F8AB993-2DA0-F6BF-1D39-D8A610356B29}"/>
            </a:ext>
          </a:extLst>
        </xdr:cNvPr>
        <xdr:cNvGrpSpPr/>
      </xdr:nvGrpSpPr>
      <xdr:grpSpPr>
        <a:xfrm>
          <a:off x="2458366" y="1163063"/>
          <a:ext cx="288000" cy="288000"/>
          <a:chOff x="2461260" y="1150620"/>
          <a:chExt cx="425669" cy="335280"/>
        </a:xfrm>
      </xdr:grpSpPr>
      <xdr:sp macro="" textlink="">
        <xdr:nvSpPr>
          <xdr:cNvPr id="55" name="Oval 54">
            <a:extLst>
              <a:ext uri="{FF2B5EF4-FFF2-40B4-BE49-F238E27FC236}">
                <a16:creationId xmlns:a16="http://schemas.microsoft.com/office/drawing/2014/main" id="{B8A6D603-4BAF-22F8-1415-3B5568532F3B}"/>
              </a:ext>
            </a:extLst>
          </xdr:cNvPr>
          <xdr:cNvSpPr/>
        </xdr:nvSpPr>
        <xdr:spPr>
          <a:xfrm>
            <a:off x="2461260" y="116642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5" name="Graphic 74" descr="Classroom with solid fill">
            <a:extLst>
              <a:ext uri="{FF2B5EF4-FFF2-40B4-BE49-F238E27FC236}">
                <a16:creationId xmlns:a16="http://schemas.microsoft.com/office/drawing/2014/main" id="{BF24616F-2AF7-63CD-8FB0-ED2AB132A6B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14600" y="1150620"/>
            <a:ext cx="335280" cy="335280"/>
          </a:xfrm>
          <a:prstGeom prst="rect">
            <a:avLst/>
          </a:prstGeom>
        </xdr:spPr>
      </xdr:pic>
    </xdr:grpSp>
    <xdr:clientData/>
  </xdr:twoCellAnchor>
  <xdr:twoCellAnchor>
    <xdr:from>
      <xdr:col>7</xdr:col>
      <xdr:colOff>373380</xdr:colOff>
      <xdr:row>5</xdr:row>
      <xdr:rowOff>59416</xdr:rowOff>
    </xdr:from>
    <xdr:to>
      <xdr:col>8</xdr:col>
      <xdr:colOff>53709</xdr:colOff>
      <xdr:row>6</xdr:row>
      <xdr:rowOff>164150</xdr:rowOff>
    </xdr:to>
    <xdr:grpSp>
      <xdr:nvGrpSpPr>
        <xdr:cNvPr id="81" name="Group 80">
          <a:extLst>
            <a:ext uri="{FF2B5EF4-FFF2-40B4-BE49-F238E27FC236}">
              <a16:creationId xmlns:a16="http://schemas.microsoft.com/office/drawing/2014/main" id="{30130DEC-691D-A2BE-4B90-7A5EDF5C14F4}"/>
            </a:ext>
          </a:extLst>
        </xdr:cNvPr>
        <xdr:cNvGrpSpPr/>
      </xdr:nvGrpSpPr>
      <xdr:grpSpPr>
        <a:xfrm>
          <a:off x="4250899" y="1207239"/>
          <a:ext cx="288000" cy="288000"/>
          <a:chOff x="4259580" y="1165860"/>
          <a:chExt cx="425669" cy="335280"/>
        </a:xfrm>
      </xdr:grpSpPr>
      <xdr:sp macro="" textlink="">
        <xdr:nvSpPr>
          <xdr:cNvPr id="61" name="Oval 60">
            <a:extLst>
              <a:ext uri="{FF2B5EF4-FFF2-40B4-BE49-F238E27FC236}">
                <a16:creationId xmlns:a16="http://schemas.microsoft.com/office/drawing/2014/main" id="{DF1AD361-530C-4983-A48E-22D4DD736FD8}"/>
              </a:ext>
            </a:extLst>
          </xdr:cNvPr>
          <xdr:cNvSpPr/>
        </xdr:nvSpPr>
        <xdr:spPr>
          <a:xfrm>
            <a:off x="4259580" y="1166428"/>
            <a:ext cx="425669" cy="301848"/>
          </a:xfrm>
          <a:prstGeom prst="ellipse">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77" name="Graphic 76" descr="Shooting star with solid fill">
            <a:extLst>
              <a:ext uri="{FF2B5EF4-FFF2-40B4-BE49-F238E27FC236}">
                <a16:creationId xmlns:a16="http://schemas.microsoft.com/office/drawing/2014/main" id="{E60DA54F-A0FA-3ED3-467F-610335FA4E0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297680" y="1165860"/>
            <a:ext cx="335280" cy="335280"/>
          </a:xfrm>
          <a:prstGeom prst="rect">
            <a:avLst/>
          </a:prstGeom>
        </xdr:spPr>
      </xdr:pic>
    </xdr:grpSp>
    <xdr:clientData/>
  </xdr:twoCellAnchor>
  <xdr:twoCellAnchor>
    <xdr:from>
      <xdr:col>1</xdr:col>
      <xdr:colOff>0</xdr:colOff>
      <xdr:row>8</xdr:row>
      <xdr:rowOff>0</xdr:rowOff>
    </xdr:from>
    <xdr:to>
      <xdr:col>11</xdr:col>
      <xdr:colOff>0</xdr:colOff>
      <xdr:row>24</xdr:row>
      <xdr:rowOff>0</xdr:rowOff>
    </xdr:to>
    <xdr:graphicFrame macro="">
      <xdr:nvGraphicFramePr>
        <xdr:cNvPr id="85" name="Chart 3">
          <a:extLst>
            <a:ext uri="{FF2B5EF4-FFF2-40B4-BE49-F238E27FC236}">
              <a16:creationId xmlns:a16="http://schemas.microsoft.com/office/drawing/2014/main" id="{0C48BB4E-9CEC-98ED-206B-A17CB332D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0</xdr:colOff>
      <xdr:row>8</xdr:row>
      <xdr:rowOff>0</xdr:rowOff>
    </xdr:from>
    <xdr:to>
      <xdr:col>15</xdr:col>
      <xdr:colOff>0</xdr:colOff>
      <xdr:row>24</xdr:row>
      <xdr:rowOff>0</xdr:rowOff>
    </xdr:to>
    <xdr:graphicFrame macro="">
      <xdr:nvGraphicFramePr>
        <xdr:cNvPr id="86" name="Chart 4">
          <a:extLst>
            <a:ext uri="{FF2B5EF4-FFF2-40B4-BE49-F238E27FC236}">
              <a16:creationId xmlns:a16="http://schemas.microsoft.com/office/drawing/2014/main" id="{CA7CD341-BACA-30B6-BE64-3AD91399C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0</xdr:colOff>
      <xdr:row>8</xdr:row>
      <xdr:rowOff>0</xdr:rowOff>
    </xdr:from>
    <xdr:to>
      <xdr:col>19</xdr:col>
      <xdr:colOff>0</xdr:colOff>
      <xdr:row>24</xdr:row>
      <xdr:rowOff>0</xdr:rowOff>
    </xdr:to>
    <xdr:graphicFrame macro="">
      <xdr:nvGraphicFramePr>
        <xdr:cNvPr id="88" name="Chart 87">
          <a:extLst>
            <a:ext uri="{FF2B5EF4-FFF2-40B4-BE49-F238E27FC236}">
              <a16:creationId xmlns:a16="http://schemas.microsoft.com/office/drawing/2014/main" id="{5DAFCDF7-C1C7-4850-B785-7B95C3CEA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19</xdr:col>
      <xdr:colOff>1</xdr:colOff>
      <xdr:row>11</xdr:row>
      <xdr:rowOff>9646</xdr:rowOff>
    </xdr:from>
    <xdr:to>
      <xdr:col>22</xdr:col>
      <xdr:colOff>0</xdr:colOff>
      <xdr:row>16</xdr:row>
      <xdr:rowOff>29404</xdr:rowOff>
    </xdr:to>
    <mc:AlternateContent xmlns:mc="http://schemas.openxmlformats.org/markup-compatibility/2006" xmlns:a14="http://schemas.microsoft.com/office/drawing/2010/main">
      <mc:Choice Requires="a14">
        <xdr:graphicFrame macro="">
          <xdr:nvGraphicFramePr>
            <xdr:cNvPr id="89" name="Direction">
              <a:extLst>
                <a:ext uri="{FF2B5EF4-FFF2-40B4-BE49-F238E27FC236}">
                  <a16:creationId xmlns:a16="http://schemas.microsoft.com/office/drawing/2014/main" id="{4A0BF347-44E1-4E4C-9364-F66073173FE9}"/>
                </a:ext>
              </a:extLst>
            </xdr:cNvPr>
            <xdr:cNvGraphicFramePr/>
          </xdr:nvGraphicFramePr>
          <xdr:xfrm>
            <a:off x="0" y="0"/>
            <a:ext cx="0" cy="0"/>
          </xdr:xfrm>
          <a:graphic>
            <a:graphicData uri="http://schemas.microsoft.com/office/drawing/2010/slicer">
              <sle:slicer xmlns:sle="http://schemas.microsoft.com/office/drawing/2010/slicer" name="Direction"/>
            </a:graphicData>
          </a:graphic>
        </xdr:graphicFrame>
      </mc:Choice>
      <mc:Fallback xmlns="">
        <xdr:sp macro="" textlink="">
          <xdr:nvSpPr>
            <xdr:cNvPr id="0" name=""/>
            <xdr:cNvSpPr>
              <a:spLocks noTextEdit="1"/>
            </xdr:cNvSpPr>
          </xdr:nvSpPr>
          <xdr:spPr>
            <a:xfrm>
              <a:off x="11169571" y="2266709"/>
              <a:ext cx="1823011" cy="93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xdr:colOff>
      <xdr:row>16</xdr:row>
      <xdr:rowOff>28937</xdr:rowOff>
    </xdr:from>
    <xdr:to>
      <xdr:col>21</xdr:col>
      <xdr:colOff>598027</xdr:colOff>
      <xdr:row>24</xdr:row>
      <xdr:rowOff>-1</xdr:rowOff>
    </xdr:to>
    <mc:AlternateContent xmlns:mc="http://schemas.openxmlformats.org/markup-compatibility/2006" xmlns:a14="http://schemas.microsoft.com/office/drawing/2010/main">
      <mc:Choice Requires="a14">
        <xdr:graphicFrame macro="">
          <xdr:nvGraphicFramePr>
            <xdr:cNvPr id="90" name="Symbol">
              <a:extLst>
                <a:ext uri="{FF2B5EF4-FFF2-40B4-BE49-F238E27FC236}">
                  <a16:creationId xmlns:a16="http://schemas.microsoft.com/office/drawing/2014/main" id="{8EFA778C-D397-43BB-925B-E65A636CF6A3}"/>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mlns="">
        <xdr:sp macro="" textlink="">
          <xdr:nvSpPr>
            <xdr:cNvPr id="0" name=""/>
            <xdr:cNvSpPr>
              <a:spLocks noTextEdit="1"/>
            </xdr:cNvSpPr>
          </xdr:nvSpPr>
          <xdr:spPr>
            <a:xfrm>
              <a:off x="11169572" y="3202329"/>
              <a:ext cx="1813366" cy="144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xdr:row>
      <xdr:rowOff>9646</xdr:rowOff>
    </xdr:from>
    <xdr:to>
      <xdr:col>21</xdr:col>
      <xdr:colOff>598026</xdr:colOff>
      <xdr:row>6</xdr:row>
      <xdr:rowOff>57873</xdr:rowOff>
    </xdr:to>
    <mc:AlternateContent xmlns:mc="http://schemas.openxmlformats.org/markup-compatibility/2006" xmlns:a14="http://schemas.microsoft.com/office/drawing/2010/main">
      <mc:Choice Requires="a14">
        <xdr:graphicFrame macro="">
          <xdr:nvGraphicFramePr>
            <xdr:cNvPr id="91" name="Year">
              <a:extLst>
                <a:ext uri="{FF2B5EF4-FFF2-40B4-BE49-F238E27FC236}">
                  <a16:creationId xmlns:a16="http://schemas.microsoft.com/office/drawing/2014/main" id="{1D361978-1FC3-4F89-B9B1-AF64C153AF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69570" y="588380"/>
              <a:ext cx="1813367" cy="800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9645</xdr:colOff>
      <xdr:row>6</xdr:row>
      <xdr:rowOff>57872</xdr:rowOff>
    </xdr:from>
    <xdr:to>
      <xdr:col>22</xdr:col>
      <xdr:colOff>0</xdr:colOff>
      <xdr:row>11</xdr:row>
      <xdr:rowOff>19291</xdr:rowOff>
    </xdr:to>
    <mc:AlternateContent xmlns:mc="http://schemas.openxmlformats.org/markup-compatibility/2006" xmlns:a14="http://schemas.microsoft.com/office/drawing/2010/main">
      <mc:Choice Requires="a14">
        <xdr:graphicFrame macro="">
          <xdr:nvGraphicFramePr>
            <xdr:cNvPr id="92" name="Month">
              <a:extLst>
                <a:ext uri="{FF2B5EF4-FFF2-40B4-BE49-F238E27FC236}">
                  <a16:creationId xmlns:a16="http://schemas.microsoft.com/office/drawing/2014/main" id="{AD6C4F2C-9850-4EFF-A6D0-A9987446EC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79215" y="1388961"/>
              <a:ext cx="1813367" cy="88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200.788429745371" missingItemsLimit="0" createdVersion="8" refreshedVersion="8" minRefreshableVersion="3" recordCount="1" xr:uid="{E7A7B608-3640-4CE3-8D36-EF2F0C177466}">
  <cacheSource type="worksheet">
    <worksheetSource name="tbl_trade"/>
  </cacheSource>
  <cacheFields count="22">
    <cacheField name="Date" numFmtId="168">
      <sharedItems containsNonDate="0" containsString="0" containsBlank="1"/>
    </cacheField>
    <cacheField name="Symbol" numFmtId="0">
      <sharedItems containsNonDate="0" containsString="0" containsBlank="1" count="1">
        <m/>
      </sharedItems>
    </cacheField>
    <cacheField name="Market" numFmtId="0">
      <sharedItems containsNonDate="0" containsString="0" containsBlank="1"/>
    </cacheField>
    <cacheField name="Direction" numFmtId="0">
      <sharedItems containsNonDate="0" containsString="0" containsBlank="1" count="1">
        <m/>
      </sharedItems>
    </cacheField>
    <cacheField name="Entry Price" numFmtId="0">
      <sharedItems containsNonDate="0" containsString="0" containsBlank="1"/>
    </cacheField>
    <cacheField name="Exit Price" numFmtId="0">
      <sharedItems containsNonDate="0" containsString="0" containsBlank="1"/>
    </cacheField>
    <cacheField name="Position Size" numFmtId="0">
      <sharedItems containsNonDate="0" containsString="0" containsBlank="1"/>
    </cacheField>
    <cacheField name="Stop Loss" numFmtId="0">
      <sharedItems containsNonDate="0" containsString="0" containsBlank="1"/>
    </cacheField>
    <cacheField name="Take Profit" numFmtId="0">
      <sharedItems containsNonDate="0" containsString="0" containsBlank="1"/>
    </cacheField>
    <cacheField name="Fees" numFmtId="0">
      <sharedItems containsNonDate="0" containsString="0" containsBlank="1"/>
    </cacheField>
    <cacheField name="PnL" numFmtId="164">
      <sharedItems containsNonDate="0" containsString="0" containsBlank="1"/>
    </cacheField>
    <cacheField name="Risk (R)" numFmtId="0">
      <sharedItems containsNonDate="0" containsString="0" containsBlank="1"/>
    </cacheField>
    <cacheField name="RR Ratio" numFmtId="0">
      <sharedItems containsNonDate="0" containsString="0" containsBlank="1"/>
    </cacheField>
    <cacheField name="Strategy" numFmtId="0">
      <sharedItems containsNonDate="0" containsString="0" containsBlank="1" count="1">
        <m/>
      </sharedItems>
    </cacheField>
    <cacheField name="Notes" numFmtId="0">
      <sharedItems containsNonDate="0" containsString="0" containsBlank="1"/>
    </cacheField>
    <cacheField name="Trade Status" numFmtId="0">
      <sharedItems count="1">
        <s v=""/>
      </sharedItems>
    </cacheField>
    <cacheField name="Win/Loss" numFmtId="0">
      <sharedItems/>
    </cacheField>
    <cacheField name="Trading Day" numFmtId="0">
      <sharedItems/>
    </cacheField>
    <cacheField name="Year" numFmtId="0">
      <sharedItems count="1">
        <s v=""/>
      </sharedItems>
    </cacheField>
    <cacheField name="Month" numFmtId="0">
      <sharedItems count="1">
        <s v=""/>
      </sharedItems>
    </cacheField>
    <cacheField name="Month No" numFmtId="0">
      <sharedItems/>
    </cacheField>
    <cacheField name="Quarter" numFmtId="0">
      <sharedItems/>
    </cacheField>
  </cacheFields>
  <extLst>
    <ext xmlns:x14="http://schemas.microsoft.com/office/spreadsheetml/2009/9/main" uri="{725AE2AE-9491-48be-B2B4-4EB974FC3084}">
      <x14:pivotCacheDefinition pivotCacheId="255637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m/>
    <x v="0"/>
    <m/>
    <x v="0"/>
    <m/>
    <m/>
    <m/>
    <m/>
    <m/>
    <m/>
    <m/>
    <m/>
    <m/>
    <x v="0"/>
    <m/>
    <x v="0"/>
    <s v=""/>
    <s v=""/>
    <x v="0"/>
    <x v="0"/>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340B8-E117-4CE9-83DB-881BCFF91450}" name="Strategy"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rategy">
  <location ref="G2:H4" firstHeaderRow="1" firstDataRow="1" firstDataCol="1"/>
  <pivotFields count="22">
    <pivotField numFmtId="168" showAll="0"/>
    <pivotField showAll="0">
      <items count="2">
        <item x="0"/>
        <item t="default"/>
      </items>
    </pivotField>
    <pivotField showAll="0"/>
    <pivotField showAll="0">
      <items count="2">
        <item x="0"/>
        <item t="default"/>
      </items>
    </pivotField>
    <pivotField showAll="0"/>
    <pivotField showAll="0"/>
    <pivotField showAll="0"/>
    <pivotField showAll="0"/>
    <pivotField showAll="0"/>
    <pivotField showAll="0"/>
    <pivotField dataField="1" numFmtId="164" showAll="0"/>
    <pivotField showAll="0"/>
    <pivotField showAll="0"/>
    <pivotField axis="axisRow" showAll="0" measureFilter="1" sortType="descending">
      <items count="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
        <item x="0"/>
        <item t="default"/>
      </items>
    </pivotField>
    <pivotField showAll="0">
      <items count="2">
        <item x="0"/>
        <item t="default"/>
      </items>
    </pivotField>
    <pivotField showAll="0"/>
    <pivotField showAll="0"/>
  </pivotFields>
  <rowFields count="1">
    <field x="13"/>
  </rowFields>
  <rowItems count="2">
    <i>
      <x/>
    </i>
    <i t="grand">
      <x/>
    </i>
  </rowItems>
  <colItems count="1">
    <i/>
  </colItems>
  <dataFields count="1">
    <dataField name="Sum of PnL" fld="10" baseField="0" baseItem="0" numFmtId="16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EDCF1-2164-454F-9AD1-48DA4556CAB9}" name="Pnl"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e">
  <location ref="A1:A2" firstHeaderRow="1" firstDataRow="1" firstDataCol="0"/>
  <pivotFields count="22">
    <pivotField numFmtId="168" showAll="0"/>
    <pivotField showAll="0">
      <items count="2">
        <item x="0"/>
        <item t="default"/>
      </items>
    </pivotField>
    <pivotField showAll="0"/>
    <pivotField showAll="0">
      <items count="2">
        <item x="0"/>
        <item t="default"/>
      </items>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items count="2">
        <item x="0"/>
        <item t="default"/>
      </items>
    </pivotField>
    <pivotField showAll="0">
      <items count="2">
        <item x="0"/>
        <item t="default"/>
      </items>
    </pivotField>
    <pivotField showAll="0"/>
    <pivotField showAll="0"/>
  </pivotFields>
  <rowItems count="1">
    <i/>
  </rowItems>
  <colItems count="1">
    <i/>
  </colItems>
  <dataFields count="1">
    <dataField name="Sum of PnL" fld="10" baseField="23" baseItem="1" numFmtId="164"/>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6186E-C55A-481D-BEEF-84E1E797794A}" name="Win/Loss"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radeStatus">
  <location ref="D2:E4" firstHeaderRow="1" firstDataRow="1" firstDataCol="1"/>
  <pivotFields count="22">
    <pivotField showAll="0"/>
    <pivotField showAll="0">
      <items count="2">
        <item x="0"/>
        <item t="default"/>
      </items>
    </pivotField>
    <pivotField showAll="0"/>
    <pivotField showAll="0">
      <items count="2">
        <item x="0"/>
        <item t="default"/>
      </items>
    </pivotField>
    <pivotField showAll="0"/>
    <pivotField showAll="0"/>
    <pivotField showAll="0"/>
    <pivotField showAll="0"/>
    <pivotField showAll="0"/>
    <pivotField showAll="0"/>
    <pivotField numFmtId="164" showAll="0"/>
    <pivotField showAll="0"/>
    <pivotField showAll="0"/>
    <pivotField showAll="0"/>
    <pivotField showAll="0"/>
    <pivotField axis="axisRow" dataField="1" showAll="0">
      <items count="2">
        <item x="0"/>
        <item t="default"/>
      </items>
    </pivotField>
    <pivotField showAll="0"/>
    <pivotField showAll="0"/>
    <pivotField showAll="0">
      <items count="2">
        <item x="0"/>
        <item t="default"/>
      </items>
    </pivotField>
    <pivotField showAll="0">
      <items count="2">
        <item x="0"/>
        <item t="default"/>
      </items>
    </pivotField>
    <pivotField showAll="0"/>
    <pivotField showAll="0"/>
  </pivotFields>
  <rowFields count="1">
    <field x="15"/>
  </rowFields>
  <rowItems count="2">
    <i>
      <x/>
    </i>
    <i t="grand">
      <x/>
    </i>
  </rowItems>
  <colItems count="1">
    <i/>
  </colItems>
  <dataFields count="1">
    <dataField name="Count" fld="15" subtotal="count" baseField="1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ion" xr10:uid="{EC5878DE-D808-4EB9-B3C0-F8AC29344DAD}" sourceName="Direction">
  <pivotTables>
    <pivotTable tabId="5" name="Pnl"/>
    <pivotTable tabId="5" name="Strategy"/>
    <pivotTable tabId="5" name="Win/Loss"/>
  </pivotTables>
  <data>
    <tabular pivotCacheId="25563709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 xr10:uid="{FFB53394-F807-4F1E-9DE1-6CA6FE26B250}" sourceName="Symbol">
  <pivotTables>
    <pivotTable tabId="5" name="Pnl"/>
    <pivotTable tabId="5" name="Strategy"/>
    <pivotTable tabId="5" name="Win/Loss"/>
  </pivotTables>
  <data>
    <tabular pivotCacheId="255637092">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D07373-26E2-49FB-A904-05234232BB11}" sourceName="Year">
  <pivotTables>
    <pivotTable tabId="5" name="Pnl"/>
    <pivotTable tabId="5" name="Win/Loss"/>
    <pivotTable tabId="5" name="Strategy"/>
  </pivotTables>
  <data>
    <tabular pivotCacheId="255637092">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20C22E-6F6B-4FA8-8032-93263C2DC882}" sourceName="Month">
  <pivotTables>
    <pivotTable tabId="5" name="Pnl"/>
    <pivotTable tabId="5" name="Strategy"/>
    <pivotTable tabId="5" name="Win/Loss"/>
  </pivotTables>
  <data>
    <tabular pivotCacheId="255637092">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rection" xr10:uid="{4CB731C0-733A-4B61-A79D-8E860067C218}" cache="Slicer_Direction" caption="Direction" style="SlicerStyleDark5 2" rowHeight="234950"/>
  <slicer name="Symbol" xr10:uid="{260E9341-B8AB-479F-90A9-4CFE97278682}" cache="Slicer_Symbol" caption="Symbol" style="SlicerStyleDark5 2" rowHeight="234950"/>
  <slicer name="Year" xr10:uid="{1CF49040-823C-4486-9CB2-3B6EBA2A0E98}" cache="Slicer_Year" caption="Year" style="SlicerStyleDark5 2" rowHeight="234950"/>
  <slicer name="Month" xr10:uid="{AE2599AF-F1F9-4DBF-93AC-10A08EB55062}" cache="Slicer_Month" caption="Month"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54610-7F2B-4D57-B21E-72898F28A2A5}" name="tbl_trade" displayName="tbl_trade" ref="A1:V2" totalsRowShown="0" headerRowDxfId="25" dataDxfId="24">
  <autoFilter ref="A1:V2" xr:uid="{D8D54610-7F2B-4D57-B21E-72898F28A2A5}"/>
  <tableColumns count="22">
    <tableColumn id="23" xr3:uid="{80780584-9746-473B-8505-A6A2BB1802FB}" name="Date" dataDxfId="23"/>
    <tableColumn id="2" xr3:uid="{6B577849-A2B4-409F-A9A1-C99897C81E71}" name="Symbol" dataDxfId="22"/>
    <tableColumn id="3" xr3:uid="{B2691ABB-C785-4D17-837A-566DAE102858}" name="Market" dataDxfId="21"/>
    <tableColumn id="4" xr3:uid="{4FD0F4E7-C483-49B9-9D5F-0489692E989C}" name="Direction" dataDxfId="20"/>
    <tableColumn id="5" xr3:uid="{41B97283-A9BD-480A-B203-8E9A175FE8DC}" name="Entry Price" dataDxfId="19"/>
    <tableColumn id="6" xr3:uid="{C83E3B7E-21D9-46AD-8186-17A9A88A460B}" name="Exit Price" dataDxfId="18"/>
    <tableColumn id="7" xr3:uid="{8327E387-8D10-4FE2-B752-A1BB365F5616}" name="Position Size" dataDxfId="17"/>
    <tableColumn id="8" xr3:uid="{09541F65-7CFF-46AC-B82E-730C8DEDCBF9}" name="Stop Loss" dataDxfId="16"/>
    <tableColumn id="9" xr3:uid="{D1BE73EC-DEC6-468A-BD4B-649FD2C6322C}" name="Take Profit" dataDxfId="15"/>
    <tableColumn id="10" xr3:uid="{6E62EF00-7B67-4192-B942-229A7FA95723}" name="Fees" dataDxfId="14"/>
    <tableColumn id="11" xr3:uid="{B98D9AE3-973E-4CD9-85C6-18908F1C7DFF}" name="PnL" dataDxfId="13"/>
    <tableColumn id="12" xr3:uid="{DB308F8A-6E98-4CBA-9A52-DD2CFED539B4}" name="Risk (R)" dataDxfId="12"/>
    <tableColumn id="13" xr3:uid="{BEC75695-F692-47A6-B938-131C1CF7D667}" name="RR Ratio" dataDxfId="11"/>
    <tableColumn id="14" xr3:uid="{0B265258-2651-433C-B833-1C946A64AB65}" name="Strategy" dataDxfId="10"/>
    <tableColumn id="15" xr3:uid="{1E70C394-8168-4493-A238-4D67309FB40D}" name="Notes" dataDxfId="9"/>
    <tableColumn id="16" xr3:uid="{77B7BA63-A655-4613-ADAF-DAE7DE220C70}" name="Trade Status" dataDxfId="2">
      <calculatedColumnFormula array="1">IF(tbl_trade[[#This Row],[PnL]]="","",_xlfn.IFS(tbl_trade[[#This Row],[PnL]]&gt;0,"Win",tbl_trade[[#This Row],[PnL]]&lt;0,"Loss",TRUE,"BreakEven"))</calculatedColumnFormula>
    </tableColumn>
    <tableColumn id="22" xr3:uid="{7B481735-C911-42AB-96FF-B2D3D63CA59D}" name="Win/Loss" dataDxfId="3">
      <calculatedColumnFormula>IF(tbl_trade[[#This Row],[PnL]]="","",IF(tbl_trade[[#This Row],[PnL]]&gt;0,1,0))</calculatedColumnFormula>
    </tableColumn>
    <tableColumn id="17" xr3:uid="{D1B14F88-4D13-4E42-B688-EACD1894B561}" name="Trading Day" dataDxfId="8">
      <calculatedColumnFormula>IF(tbl_trade[[#This Row],[Date]]="","",TEXT(tbl_trade[[#This Row],[Date]],"yyyy-mm-dd"))</calculatedColumnFormula>
    </tableColumn>
    <tableColumn id="18" xr3:uid="{585AE9F4-FFD9-47E4-9815-2ACF508FF68A}" name="Year" dataDxfId="7">
      <calculatedColumnFormula>IF(tbl_trade[[#This Row],[Date]]="","",YEAR(tbl_trade[[#This Row],[Date]]))</calculatedColumnFormula>
    </tableColumn>
    <tableColumn id="19" xr3:uid="{FF23DE86-96DA-43CC-B6D6-687C7782DDEB}" name="Month" dataDxfId="6">
      <calculatedColumnFormula>IF(tbl_trade[[#This Row],[Date]]="","",TEXT(tbl_trade[[#This Row],[Date]],"mmm"))</calculatedColumnFormula>
    </tableColumn>
    <tableColumn id="20" xr3:uid="{6BE3BE1B-E92F-4575-A675-91584DE51921}" name="Month No" dataDxfId="5">
      <calculatedColumnFormula>IF(tbl_trade[[#This Row],[Date]]="","",MONTH(tbl_trade[[#This Row],[Date]]))</calculatedColumnFormula>
    </tableColumn>
    <tableColumn id="21" xr3:uid="{3868F902-5BAA-4CA5-8FAB-10914A41EF5F}" name="Quarter" dataDxfId="4">
      <calculatedColumnFormula>IF(tbl_trade[[#This Row],[Date]]="","","Q"&amp;ROUNDUP(MONTH(tbl_trade[[#This Row],[Date]])/3,0))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V2"/>
  <sheetViews>
    <sheetView tabSelected="1" workbookViewId="0">
      <selection activeCell="A2" sqref="A2"/>
    </sheetView>
  </sheetViews>
  <sheetFormatPr defaultRowHeight="14.4" x14ac:dyDescent="0.3"/>
  <cols>
    <col min="1" max="1" width="21.77734375" style="18" customWidth="1"/>
    <col min="2" max="2" width="12.21875" style="1" customWidth="1"/>
    <col min="3" max="3" width="16.6640625" style="1" customWidth="1"/>
    <col min="4" max="4" width="11" style="1" customWidth="1"/>
    <col min="5" max="5" width="13" style="1" customWidth="1"/>
    <col min="6" max="6" width="12" style="1" customWidth="1"/>
    <col min="7" max="7" width="15" style="1" customWidth="1"/>
    <col min="8" max="8" width="11" style="1" customWidth="1"/>
    <col min="9" max="9" width="18" style="1" customWidth="1"/>
    <col min="10" max="10" width="15.33203125" style="1" customWidth="1"/>
    <col min="11" max="11" width="16.109375" style="2" customWidth="1"/>
    <col min="12" max="12" width="17.5546875" style="1" customWidth="1"/>
    <col min="13" max="13" width="25" style="1" customWidth="1"/>
    <col min="14" max="14" width="20.44140625" style="1" customWidth="1"/>
    <col min="15" max="15" width="29.33203125" style="1" customWidth="1"/>
    <col min="16" max="17" width="26.44140625" hidden="1" customWidth="1"/>
    <col min="18" max="18" width="24.88671875" hidden="1" customWidth="1"/>
    <col min="19" max="19" width="11" hidden="1" customWidth="1"/>
    <col min="20" max="20" width="10.21875" hidden="1" customWidth="1"/>
    <col min="21" max="21" width="8.88671875" hidden="1" customWidth="1"/>
    <col min="22" max="22" width="11.6640625" hidden="1" customWidth="1"/>
    <col min="24" max="24" width="14.44140625" customWidth="1"/>
  </cols>
  <sheetData>
    <row r="1" spans="1:22" x14ac:dyDescent="0.3">
      <c r="A1" s="17" t="s">
        <v>0</v>
      </c>
      <c r="B1" s="5" t="s">
        <v>1</v>
      </c>
      <c r="C1" s="5" t="s">
        <v>2</v>
      </c>
      <c r="D1" s="5" t="s">
        <v>3</v>
      </c>
      <c r="E1" s="5" t="s">
        <v>4</v>
      </c>
      <c r="F1" s="5" t="s">
        <v>5</v>
      </c>
      <c r="G1" s="5" t="s">
        <v>6</v>
      </c>
      <c r="H1" s="5" t="s">
        <v>7</v>
      </c>
      <c r="I1" s="5" t="s">
        <v>8</v>
      </c>
      <c r="J1" s="5" t="s">
        <v>9</v>
      </c>
      <c r="K1" s="6" t="s">
        <v>10</v>
      </c>
      <c r="L1" s="5" t="s">
        <v>11</v>
      </c>
      <c r="M1" s="5" t="s">
        <v>12</v>
      </c>
      <c r="N1" s="5" t="s">
        <v>13</v>
      </c>
      <c r="O1" s="5" t="s">
        <v>14</v>
      </c>
      <c r="P1" s="5" t="s">
        <v>28</v>
      </c>
      <c r="Q1" s="5" t="s">
        <v>36</v>
      </c>
      <c r="R1" s="5" t="s">
        <v>29</v>
      </c>
      <c r="S1" s="5" t="s">
        <v>32</v>
      </c>
      <c r="T1" s="5" t="s">
        <v>33</v>
      </c>
      <c r="U1" s="5" t="s">
        <v>34</v>
      </c>
      <c r="V1" s="5" t="s">
        <v>35</v>
      </c>
    </row>
    <row r="2" spans="1:22" x14ac:dyDescent="0.3">
      <c r="P2" s="1" t="str" cm="1">
        <f t="array" ref="P2">IF(tbl_trade[[#This Row],[PnL]]="","",_xlfn.IFS(tbl_trade[[#This Row],[PnL]]&gt;0,"Win",tbl_trade[[#This Row],[PnL]]&lt;0,"Loss",TRUE,"BreakEven"))</f>
        <v/>
      </c>
      <c r="Q2" s="1" t="str">
        <f>IF(tbl_trade[[#This Row],[PnL]]="","",IF(tbl_trade[[#This Row],[PnL]]&gt;0,1,0))</f>
        <v/>
      </c>
      <c r="R2" s="1" t="str">
        <f>IF(tbl_trade[[#This Row],[Date]]="","",TEXT(tbl_trade[[#This Row],[Date]],"yyyy-mm-dd"))</f>
        <v/>
      </c>
      <c r="S2" s="1" t="str">
        <f>IF(tbl_trade[[#This Row],[Date]]="","",YEAR(tbl_trade[[#This Row],[Date]]))</f>
        <v/>
      </c>
      <c r="T2" s="1" t="str">
        <f>IF(tbl_trade[[#This Row],[Date]]="","",TEXT(tbl_trade[[#This Row],[Date]],"mmm"))</f>
        <v/>
      </c>
      <c r="U2" s="1" t="str">
        <f>IF(tbl_trade[[#This Row],[Date]]="","",MONTH(tbl_trade[[#This Row],[Date]]))</f>
        <v/>
      </c>
      <c r="V2" s="1" t="str">
        <f>IF(tbl_trade[[#This Row],[Date]]="","","Q"&amp;ROUNDUP(MONTH(tbl_trade[[#This Row],[Date]])/3,0))</f>
        <v/>
      </c>
    </row>
  </sheetData>
  <conditionalFormatting sqref="D2">
    <cfRule type="cellIs" dxfId="1" priority="2" operator="equal">
      <formula>"SHORT"</formula>
    </cfRule>
    <cfRule type="cellIs" dxfId="0" priority="3" operator="equal">
      <formula>"LONG"</formula>
    </cfRule>
  </conditionalFormatting>
  <conditionalFormatting sqref="K1:K1048576">
    <cfRule type="colorScale" priority="1">
      <colorScale>
        <cfvo type="min"/>
        <cfvo type="percentile" val="50"/>
        <cfvo type="max"/>
        <color rgb="FFF8696B"/>
        <color rgb="FFFCFCFF"/>
        <color rgb="FF63BE7B"/>
      </colorScale>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892D-F45C-4D5F-9039-6BEBCC595C67}">
  <sheetPr>
    <tabColor rgb="FF002060"/>
  </sheetPr>
  <dimension ref="A1:H4"/>
  <sheetViews>
    <sheetView zoomScale="91" workbookViewId="0">
      <selection activeCell="D2" sqref="D2"/>
    </sheetView>
  </sheetViews>
  <sheetFormatPr defaultRowHeight="14.4" x14ac:dyDescent="0.3"/>
  <cols>
    <col min="1" max="1" width="10.6640625" bestFit="1" customWidth="1"/>
    <col min="2" max="2" width="12.109375" bestFit="1" customWidth="1"/>
    <col min="4" max="4" width="13.77734375" bestFit="1" customWidth="1"/>
    <col min="5" max="5" width="6.21875" bestFit="1" customWidth="1"/>
    <col min="7" max="7" width="11.109375" bestFit="1" customWidth="1"/>
    <col min="8" max="8" width="10.6640625" bestFit="1" customWidth="1"/>
  </cols>
  <sheetData>
    <row r="1" spans="1:8" x14ac:dyDescent="0.3">
      <c r="A1" t="s">
        <v>31</v>
      </c>
    </row>
    <row r="2" spans="1:8" x14ac:dyDescent="0.3">
      <c r="A2" s="9"/>
      <c r="D2" s="7" t="s">
        <v>39</v>
      </c>
      <c r="E2" t="s">
        <v>38</v>
      </c>
      <c r="G2" s="7" t="s">
        <v>13</v>
      </c>
      <c r="H2" t="s">
        <v>31</v>
      </c>
    </row>
    <row r="3" spans="1:8" x14ac:dyDescent="0.3">
      <c r="D3" s="8"/>
      <c r="E3" s="53">
        <v>1</v>
      </c>
      <c r="G3" s="8" t="s">
        <v>40</v>
      </c>
      <c r="H3" s="9"/>
    </row>
    <row r="4" spans="1:8" x14ac:dyDescent="0.3">
      <c r="D4" s="8" t="s">
        <v>30</v>
      </c>
      <c r="E4" s="53">
        <v>1</v>
      </c>
      <c r="G4" s="8" t="s">
        <v>30</v>
      </c>
      <c r="H4"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A81D-1CC9-49FE-BF96-49623B2D1496}">
  <sheetPr>
    <tabColor rgb="FF002060"/>
  </sheetPr>
  <dimension ref="B1:W25"/>
  <sheetViews>
    <sheetView showGridLines="0" zoomScale="79" zoomScaleNormal="100" workbookViewId="0">
      <selection activeCell="I25" sqref="I25"/>
    </sheetView>
  </sheetViews>
  <sheetFormatPr defaultRowHeight="14.4" x14ac:dyDescent="0.3"/>
  <cols>
    <col min="1" max="1" width="3.33203125" style="3" customWidth="1"/>
    <col min="2" max="16" width="8.88671875" style="3"/>
    <col min="17" max="17" width="8.88671875" style="3" customWidth="1"/>
    <col min="18" max="22" width="8.88671875" style="3"/>
    <col min="23" max="23" width="77.77734375" style="3" customWidth="1"/>
    <col min="24" max="16384" width="8.88671875" style="3"/>
  </cols>
  <sheetData>
    <row r="1" spans="2:22" ht="30" customHeight="1" thickBot="1" x14ac:dyDescent="0.35">
      <c r="B1" s="43" t="s">
        <v>17</v>
      </c>
      <c r="C1" s="44"/>
      <c r="D1" s="44"/>
      <c r="E1" s="44"/>
      <c r="F1" s="44"/>
      <c r="G1" s="44"/>
      <c r="H1" s="44"/>
      <c r="I1" s="44"/>
      <c r="J1" s="44"/>
      <c r="K1" s="44"/>
      <c r="L1" s="44"/>
      <c r="M1" s="44"/>
      <c r="N1" s="44"/>
      <c r="O1" s="44"/>
      <c r="P1" s="44"/>
      <c r="Q1" s="44"/>
      <c r="R1" s="44"/>
      <c r="S1" s="44"/>
      <c r="T1" s="44"/>
      <c r="U1" s="44"/>
      <c r="V1" s="45"/>
    </row>
    <row r="2" spans="2:22" ht="15" thickBot="1" x14ac:dyDescent="0.35">
      <c r="B2" s="23"/>
      <c r="C2" s="35">
        <f>COUNTA(tbl_trade[Date])</f>
        <v>0</v>
      </c>
      <c r="D2" s="36"/>
      <c r="E2" s="23"/>
      <c r="F2" s="35">
        <f>SUM(tbl_trade[Win/Loss])</f>
        <v>0</v>
      </c>
      <c r="G2" s="36"/>
      <c r="H2" s="23"/>
      <c r="I2" s="51">
        <f>IFERROR(SUM(tbl_trade[Win/Loss])/COUNTA(tbl_trade[Date]),0)</f>
        <v>0</v>
      </c>
      <c r="J2" s="52"/>
      <c r="K2" s="23"/>
      <c r="L2" s="41" t="e">
        <f>AVERAGEIF(tbl_trade[PnL],"&gt;0",tbl_trade[PnL])</f>
        <v>#DIV/0!</v>
      </c>
      <c r="M2" s="42"/>
      <c r="N2" s="23"/>
      <c r="O2" s="41">
        <f>MAX(tbl_trade[PnL])</f>
        <v>0</v>
      </c>
      <c r="P2" s="42"/>
      <c r="Q2" s="23"/>
      <c r="R2" s="26" t="e">
        <f>AVERAGE(tbl_trade[PnL])</f>
        <v>#DIV/0!</v>
      </c>
      <c r="S2" s="27"/>
      <c r="T2" s="46" t="s">
        <v>32</v>
      </c>
      <c r="U2" s="47"/>
      <c r="V2" s="48"/>
    </row>
    <row r="3" spans="2:22" x14ac:dyDescent="0.3">
      <c r="B3" s="23"/>
      <c r="C3" s="35"/>
      <c r="D3" s="36"/>
      <c r="E3" s="23"/>
      <c r="F3" s="35"/>
      <c r="G3" s="36"/>
      <c r="H3" s="23"/>
      <c r="I3" s="51"/>
      <c r="J3" s="52"/>
      <c r="K3" s="23"/>
      <c r="L3" s="41"/>
      <c r="M3" s="42"/>
      <c r="N3" s="23"/>
      <c r="O3" s="41"/>
      <c r="P3" s="42"/>
      <c r="Q3" s="23"/>
      <c r="R3" s="26"/>
      <c r="S3" s="27"/>
      <c r="T3" s="23"/>
      <c r="U3" s="49"/>
      <c r="V3" s="50"/>
    </row>
    <row r="4" spans="2:22" ht="15" thickBot="1" x14ac:dyDescent="0.35">
      <c r="B4" s="20" t="s">
        <v>15</v>
      </c>
      <c r="C4" s="21"/>
      <c r="D4" s="32"/>
      <c r="E4" s="20" t="s">
        <v>18</v>
      </c>
      <c r="F4" s="21"/>
      <c r="G4" s="32"/>
      <c r="H4" s="20" t="s">
        <v>19</v>
      </c>
      <c r="I4" s="21"/>
      <c r="J4" s="32"/>
      <c r="K4" s="20" t="s">
        <v>23</v>
      </c>
      <c r="L4" s="21"/>
      <c r="M4" s="32"/>
      <c r="N4" s="20" t="s">
        <v>25</v>
      </c>
      <c r="O4" s="21"/>
      <c r="P4" s="32"/>
      <c r="Q4" s="20" t="s">
        <v>20</v>
      </c>
      <c r="R4" s="21"/>
      <c r="S4" s="21"/>
      <c r="T4" s="23"/>
      <c r="U4" s="49"/>
      <c r="V4" s="50"/>
    </row>
    <row r="5" spans="2:22" ht="15" thickBot="1" x14ac:dyDescent="0.35">
      <c r="B5" s="4"/>
      <c r="C5" s="4"/>
      <c r="D5" s="4"/>
      <c r="E5" s="4"/>
      <c r="F5" s="4"/>
      <c r="G5" s="4"/>
      <c r="H5" s="4"/>
      <c r="I5" s="4"/>
      <c r="J5" s="4"/>
      <c r="K5" s="4"/>
      <c r="L5" s="4"/>
      <c r="M5" s="4"/>
      <c r="N5" s="4"/>
      <c r="O5" s="4"/>
      <c r="P5" s="4"/>
      <c r="Q5" s="4"/>
      <c r="R5" s="4"/>
      <c r="S5" s="4"/>
      <c r="T5" s="10"/>
      <c r="U5" s="11"/>
      <c r="V5" s="12"/>
    </row>
    <row r="6" spans="2:22" x14ac:dyDescent="0.3">
      <c r="B6" s="22"/>
      <c r="C6" s="33">
        <f>COUNTA(_xlfn.UNIQUE(tbl_trade[Date]))</f>
        <v>1</v>
      </c>
      <c r="D6" s="34"/>
      <c r="E6" s="22"/>
      <c r="F6" s="37">
        <f>C2-F2</f>
        <v>0</v>
      </c>
      <c r="G6" s="38"/>
      <c r="H6" s="22"/>
      <c r="I6" s="24" t="e">
        <f>(L2*I2)-(L6*(1-I2))</f>
        <v>#DIV/0!</v>
      </c>
      <c r="J6" s="34"/>
      <c r="K6" s="22"/>
      <c r="L6" s="24" t="e">
        <f>ABS(AVERAGEIF(tbl_trade[PnL],"&lt;0",tbl_trade[PnL]))</f>
        <v>#DIV/0!</v>
      </c>
      <c r="M6" s="25"/>
      <c r="N6" s="22"/>
      <c r="O6" s="24">
        <f>MIN(tbl_trade[PnL])</f>
        <v>0</v>
      </c>
      <c r="P6" s="25"/>
      <c r="Q6" s="22"/>
      <c r="R6" s="28">
        <f>SUM(tbl_trade[PnL])</f>
        <v>0</v>
      </c>
      <c r="S6" s="29"/>
      <c r="T6" s="10"/>
      <c r="U6" s="11"/>
      <c r="V6" s="12"/>
    </row>
    <row r="7" spans="2:22" x14ac:dyDescent="0.3">
      <c r="B7" s="23"/>
      <c r="C7" s="35"/>
      <c r="D7" s="36"/>
      <c r="E7" s="23"/>
      <c r="F7" s="39"/>
      <c r="G7" s="40"/>
      <c r="H7" s="23"/>
      <c r="I7" s="35"/>
      <c r="J7" s="36"/>
      <c r="K7" s="23"/>
      <c r="L7" s="26"/>
      <c r="M7" s="27"/>
      <c r="N7" s="23"/>
      <c r="O7" s="26"/>
      <c r="P7" s="27"/>
      <c r="Q7" s="23"/>
      <c r="R7" s="30"/>
      <c r="S7" s="31"/>
      <c r="T7" s="10"/>
      <c r="U7" s="11"/>
      <c r="V7" s="12"/>
    </row>
    <row r="8" spans="2:22" ht="15" thickBot="1" x14ac:dyDescent="0.35">
      <c r="B8" s="20" t="s">
        <v>21</v>
      </c>
      <c r="C8" s="21"/>
      <c r="D8" s="32"/>
      <c r="E8" s="20" t="s">
        <v>22</v>
      </c>
      <c r="F8" s="21"/>
      <c r="G8" s="32"/>
      <c r="H8" s="20" t="s">
        <v>27</v>
      </c>
      <c r="I8" s="21"/>
      <c r="J8" s="32"/>
      <c r="K8" s="20" t="s">
        <v>24</v>
      </c>
      <c r="L8" s="21"/>
      <c r="M8" s="32"/>
      <c r="N8" s="20" t="s">
        <v>26</v>
      </c>
      <c r="O8" s="21"/>
      <c r="P8" s="32"/>
      <c r="Q8" s="20" t="s">
        <v>16</v>
      </c>
      <c r="R8" s="21"/>
      <c r="S8" s="21"/>
      <c r="T8" s="10"/>
      <c r="U8" s="11"/>
      <c r="V8" s="12"/>
    </row>
    <row r="9" spans="2:22" x14ac:dyDescent="0.3">
      <c r="B9" s="4"/>
      <c r="C9" s="4"/>
      <c r="D9" s="4"/>
      <c r="E9" s="4"/>
      <c r="F9" s="4"/>
      <c r="G9" s="4"/>
      <c r="H9" s="4"/>
      <c r="I9" s="4"/>
      <c r="J9" s="4"/>
      <c r="K9" s="4"/>
      <c r="L9" s="4"/>
      <c r="M9" s="4"/>
      <c r="N9" s="4"/>
      <c r="O9" s="4"/>
      <c r="P9" s="4"/>
      <c r="Q9" s="4"/>
      <c r="R9" s="4"/>
      <c r="S9" s="4"/>
      <c r="T9" s="10"/>
      <c r="U9" s="11"/>
      <c r="V9" s="12"/>
    </row>
    <row r="10" spans="2:22" x14ac:dyDescent="0.3">
      <c r="B10" s="4"/>
      <c r="C10" s="4"/>
      <c r="D10" s="4"/>
      <c r="E10" s="4"/>
      <c r="F10" s="4"/>
      <c r="G10" s="4"/>
      <c r="H10" s="4"/>
      <c r="I10" s="4"/>
      <c r="J10" s="4"/>
      <c r="K10" s="4"/>
      <c r="L10" s="4"/>
      <c r="M10" s="4"/>
      <c r="N10" s="4"/>
      <c r="O10" s="4"/>
      <c r="P10" s="4"/>
      <c r="Q10" s="4"/>
      <c r="R10" s="4"/>
      <c r="S10" s="19"/>
      <c r="T10" s="10"/>
      <c r="U10" s="11"/>
      <c r="V10" s="12"/>
    </row>
    <row r="11" spans="2:22" x14ac:dyDescent="0.3">
      <c r="B11" s="4"/>
      <c r="C11" s="4"/>
      <c r="D11" s="4"/>
      <c r="E11" s="4"/>
      <c r="F11" s="4"/>
      <c r="G11" s="4"/>
      <c r="H11" s="4"/>
      <c r="I11" s="4"/>
      <c r="J11" s="4"/>
      <c r="K11" s="4"/>
      <c r="L11" s="4"/>
      <c r="M11" s="4"/>
      <c r="N11" s="4"/>
      <c r="O11" s="4"/>
      <c r="P11" s="4"/>
      <c r="Q11" s="4"/>
      <c r="R11" s="4"/>
      <c r="S11" s="4"/>
      <c r="T11" s="10"/>
      <c r="U11" s="11"/>
      <c r="V11" s="12"/>
    </row>
    <row r="12" spans="2:22" x14ac:dyDescent="0.3">
      <c r="B12" s="4"/>
      <c r="C12" s="4"/>
      <c r="D12" s="4"/>
      <c r="E12" s="4"/>
      <c r="F12" s="4"/>
      <c r="G12" s="4"/>
      <c r="H12" s="4"/>
      <c r="I12" s="4"/>
      <c r="J12" s="4"/>
      <c r="K12" s="4"/>
      <c r="L12" s="4"/>
      <c r="M12" s="4"/>
      <c r="N12" s="4"/>
      <c r="O12" s="4"/>
      <c r="P12" s="4"/>
      <c r="Q12" s="4"/>
      <c r="R12" s="4"/>
      <c r="S12" s="4"/>
      <c r="T12" s="10"/>
      <c r="U12" s="11"/>
      <c r="V12" s="12"/>
    </row>
    <row r="13" spans="2:22" x14ac:dyDescent="0.3">
      <c r="B13" s="4"/>
      <c r="C13" s="4"/>
      <c r="D13" s="4"/>
      <c r="E13" s="4"/>
      <c r="F13" s="4"/>
      <c r="G13" s="4"/>
      <c r="H13" s="4"/>
      <c r="I13" s="4"/>
      <c r="J13" s="4"/>
      <c r="K13" s="4"/>
      <c r="L13" s="4"/>
      <c r="M13" s="4"/>
      <c r="N13" s="4"/>
      <c r="O13" s="4"/>
      <c r="P13" s="4"/>
      <c r="Q13" s="4"/>
      <c r="R13" s="4"/>
      <c r="S13" s="4"/>
      <c r="T13" s="10"/>
      <c r="U13" s="11"/>
      <c r="V13" s="12"/>
    </row>
    <row r="14" spans="2:22" x14ac:dyDescent="0.3">
      <c r="B14" s="4"/>
      <c r="C14" s="4"/>
      <c r="D14" s="4"/>
      <c r="E14" s="4"/>
      <c r="F14" s="4"/>
      <c r="G14" s="4"/>
      <c r="H14" s="4"/>
      <c r="I14" s="4"/>
      <c r="J14" s="4"/>
      <c r="K14" s="4"/>
      <c r="L14" s="4"/>
      <c r="M14" s="4"/>
      <c r="N14" s="4"/>
      <c r="O14" s="4"/>
      <c r="P14" s="4"/>
      <c r="Q14" s="4"/>
      <c r="R14" s="4"/>
      <c r="S14" s="4"/>
      <c r="T14" s="10"/>
      <c r="U14" s="11"/>
      <c r="V14" s="12"/>
    </row>
    <row r="15" spans="2:22" x14ac:dyDescent="0.3">
      <c r="B15" s="4"/>
      <c r="C15" s="4"/>
      <c r="D15" s="4"/>
      <c r="E15" s="4"/>
      <c r="F15" s="4"/>
      <c r="G15" s="4"/>
      <c r="H15" s="4"/>
      <c r="I15" s="4"/>
      <c r="J15" s="4"/>
      <c r="K15" s="4"/>
      <c r="L15" s="4"/>
      <c r="M15" s="4"/>
      <c r="N15" s="4"/>
      <c r="O15" s="4"/>
      <c r="P15" s="4"/>
      <c r="Q15" s="4"/>
      <c r="R15" s="4"/>
      <c r="S15" s="4"/>
      <c r="T15" s="10"/>
      <c r="U15" s="11"/>
      <c r="V15" s="12"/>
    </row>
    <row r="16" spans="2:22" x14ac:dyDescent="0.3">
      <c r="B16" s="4"/>
      <c r="C16" s="4"/>
      <c r="D16" s="4"/>
      <c r="E16" s="4"/>
      <c r="F16" s="4"/>
      <c r="G16" s="4"/>
      <c r="H16" s="4"/>
      <c r="I16" s="4"/>
      <c r="J16" s="4"/>
      <c r="K16" s="4"/>
      <c r="L16" s="4"/>
      <c r="M16" s="4"/>
      <c r="N16" s="4"/>
      <c r="O16" s="4"/>
      <c r="P16" s="4"/>
      <c r="Q16" s="4"/>
      <c r="R16" s="4"/>
      <c r="S16" s="4"/>
      <c r="T16" s="10"/>
      <c r="U16" s="11"/>
      <c r="V16" s="12"/>
    </row>
    <row r="17" spans="2:23" x14ac:dyDescent="0.3">
      <c r="B17" s="4"/>
      <c r="C17" s="4"/>
      <c r="D17" s="4"/>
      <c r="E17" s="4"/>
      <c r="F17" s="4"/>
      <c r="G17" s="4"/>
      <c r="H17" s="4"/>
      <c r="I17" s="4"/>
      <c r="J17" s="4"/>
      <c r="K17" s="4"/>
      <c r="L17" s="4"/>
      <c r="M17" s="4"/>
      <c r="N17" s="4"/>
      <c r="O17" s="4"/>
      <c r="P17" s="4"/>
      <c r="Q17" s="4"/>
      <c r="R17" s="4"/>
      <c r="S17" s="4"/>
      <c r="T17" s="10"/>
      <c r="U17" s="11"/>
      <c r="V17" s="12"/>
    </row>
    <row r="18" spans="2:23" x14ac:dyDescent="0.3">
      <c r="B18" s="4"/>
      <c r="C18" s="4"/>
      <c r="D18" s="4"/>
      <c r="E18" s="4"/>
      <c r="F18" s="4"/>
      <c r="G18" s="4"/>
      <c r="H18" s="4"/>
      <c r="I18" s="4"/>
      <c r="J18" s="4"/>
      <c r="K18" s="4"/>
      <c r="L18" s="4"/>
      <c r="M18" s="4"/>
      <c r="N18" s="4"/>
      <c r="O18" s="4"/>
      <c r="P18" s="4"/>
      <c r="Q18" s="4"/>
      <c r="R18" s="4"/>
      <c r="S18" s="4"/>
      <c r="T18" s="10"/>
      <c r="U18" s="11"/>
      <c r="V18" s="12"/>
    </row>
    <row r="19" spans="2:23" x14ac:dyDescent="0.3">
      <c r="B19" s="4"/>
      <c r="C19" s="4"/>
      <c r="D19" s="4"/>
      <c r="E19" s="4"/>
      <c r="F19" s="4"/>
      <c r="G19" s="4"/>
      <c r="H19" s="4"/>
      <c r="I19" s="4"/>
      <c r="J19" s="4"/>
      <c r="K19" s="4"/>
      <c r="L19" s="4"/>
      <c r="M19" s="4"/>
      <c r="N19" s="4"/>
      <c r="O19" s="4"/>
      <c r="P19" s="4"/>
      <c r="Q19" s="4"/>
      <c r="R19" s="4"/>
      <c r="S19" s="4"/>
      <c r="T19" s="10"/>
      <c r="U19" s="11"/>
      <c r="V19" s="12"/>
    </row>
    <row r="20" spans="2:23" x14ac:dyDescent="0.3">
      <c r="B20" s="4"/>
      <c r="C20" s="4"/>
      <c r="D20" s="4"/>
      <c r="E20" s="4"/>
      <c r="F20" s="4"/>
      <c r="G20" s="4"/>
      <c r="H20" s="4"/>
      <c r="I20" s="4"/>
      <c r="J20" s="4"/>
      <c r="K20" s="4"/>
      <c r="L20" s="4"/>
      <c r="M20" s="4"/>
      <c r="N20" s="4"/>
      <c r="O20" s="4"/>
      <c r="P20" s="4"/>
      <c r="Q20" s="4"/>
      <c r="R20" s="4"/>
      <c r="S20" s="4"/>
      <c r="T20" s="10"/>
      <c r="U20" s="11"/>
      <c r="V20" s="12"/>
    </row>
    <row r="21" spans="2:23" x14ac:dyDescent="0.3">
      <c r="B21" s="4"/>
      <c r="C21" s="4"/>
      <c r="D21" s="4"/>
      <c r="E21" s="4"/>
      <c r="F21" s="4"/>
      <c r="G21" s="4"/>
      <c r="H21" s="4"/>
      <c r="I21" s="4"/>
      <c r="J21" s="4"/>
      <c r="K21" s="4"/>
      <c r="L21" s="4"/>
      <c r="M21" s="4"/>
      <c r="N21" s="4"/>
      <c r="O21" s="4"/>
      <c r="P21" s="4"/>
      <c r="Q21" s="4"/>
      <c r="R21" s="4"/>
      <c r="S21" s="4"/>
      <c r="T21" s="10"/>
      <c r="U21" s="11"/>
      <c r="V21" s="12"/>
    </row>
    <row r="22" spans="2:23" x14ac:dyDescent="0.3">
      <c r="B22" s="4"/>
      <c r="C22" s="4"/>
      <c r="D22" s="4"/>
      <c r="E22" s="4"/>
      <c r="F22" s="4"/>
      <c r="G22" s="4"/>
      <c r="H22" s="4"/>
      <c r="I22" s="4"/>
      <c r="J22" s="4"/>
      <c r="K22" s="4"/>
      <c r="L22" s="4"/>
      <c r="M22" s="4"/>
      <c r="N22" s="4"/>
      <c r="O22" s="4"/>
      <c r="P22" s="4"/>
      <c r="Q22" s="4"/>
      <c r="R22" s="4"/>
      <c r="S22" s="4"/>
      <c r="T22" s="10"/>
      <c r="U22" s="11"/>
      <c r="V22" s="12"/>
    </row>
    <row r="23" spans="2:23" x14ac:dyDescent="0.3">
      <c r="B23" s="4"/>
      <c r="C23" s="4"/>
      <c r="D23" s="4"/>
      <c r="E23" s="4"/>
      <c r="F23" s="4"/>
      <c r="G23" s="4"/>
      <c r="H23" s="4"/>
      <c r="I23" s="4"/>
      <c r="J23" s="4"/>
      <c r="K23" s="4"/>
      <c r="L23" s="4"/>
      <c r="M23" s="4"/>
      <c r="N23" s="4"/>
      <c r="O23" s="4"/>
      <c r="P23" s="4"/>
      <c r="Q23" s="4"/>
      <c r="R23" s="4"/>
      <c r="S23" s="4"/>
      <c r="T23" s="10"/>
      <c r="U23" s="11"/>
      <c r="V23" s="12"/>
    </row>
    <row r="24" spans="2:23" ht="15" thickBot="1" x14ac:dyDescent="0.35">
      <c r="B24" s="4"/>
      <c r="C24" s="4"/>
      <c r="D24" s="4"/>
      <c r="E24" s="4"/>
      <c r="F24" s="4"/>
      <c r="G24" s="4"/>
      <c r="H24" s="4"/>
      <c r="I24" s="4"/>
      <c r="J24" s="4"/>
      <c r="K24" s="4"/>
      <c r="L24" s="4"/>
      <c r="M24" s="4"/>
      <c r="N24" s="4"/>
      <c r="O24" s="4"/>
      <c r="P24" s="4"/>
      <c r="Q24" s="4"/>
      <c r="R24" s="4"/>
      <c r="S24" s="4"/>
      <c r="T24" s="13"/>
      <c r="U24" s="14"/>
      <c r="V24" s="15"/>
    </row>
    <row r="25" spans="2:23" ht="187.2" x14ac:dyDescent="0.3">
      <c r="W25" s="16" t="s">
        <v>37</v>
      </c>
    </row>
  </sheetData>
  <mergeCells count="39">
    <mergeCell ref="L2:M3"/>
    <mergeCell ref="O2:P3"/>
    <mergeCell ref="B1:V1"/>
    <mergeCell ref="Q2:Q3"/>
    <mergeCell ref="R2:S3"/>
    <mergeCell ref="H2:H3"/>
    <mergeCell ref="K2:K3"/>
    <mergeCell ref="N2:N3"/>
    <mergeCell ref="T2:V2"/>
    <mergeCell ref="T3:V4"/>
    <mergeCell ref="B2:B3"/>
    <mergeCell ref="E2:E3"/>
    <mergeCell ref="C2:D3"/>
    <mergeCell ref="F2:G3"/>
    <mergeCell ref="I2:J3"/>
    <mergeCell ref="Q4:S4"/>
    <mergeCell ref="B6:B7"/>
    <mergeCell ref="C6:D7"/>
    <mergeCell ref="E6:E7"/>
    <mergeCell ref="F6:G7"/>
    <mergeCell ref="H6:H7"/>
    <mergeCell ref="I6:J7"/>
    <mergeCell ref="B4:D4"/>
    <mergeCell ref="E4:G4"/>
    <mergeCell ref="H4:J4"/>
    <mergeCell ref="K4:M4"/>
    <mergeCell ref="N4:P4"/>
    <mergeCell ref="B8:D8"/>
    <mergeCell ref="E8:G8"/>
    <mergeCell ref="H8:J8"/>
    <mergeCell ref="K8:M8"/>
    <mergeCell ref="N8:P8"/>
    <mergeCell ref="Q8:S8"/>
    <mergeCell ref="K6:K7"/>
    <mergeCell ref="L6:M7"/>
    <mergeCell ref="N6:N7"/>
    <mergeCell ref="O6:P7"/>
    <mergeCell ref="Q6:Q7"/>
    <mergeCell ref="R6:S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Trade Log</vt:lpstr>
      <vt:lpstr>Helper_Data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Asiya Nizam</cp:lastModifiedBy>
  <dcterms:created xsi:type="dcterms:W3CDTF">2026-06-24T12:32:22Z</dcterms:created>
  <dcterms:modified xsi:type="dcterms:W3CDTF">2026-06-27T14:55:51Z</dcterms:modified>
</cp:coreProperties>
</file>